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L:\Users\amano\Documents\01_趣味\無線\アマチュア無線\◇1アマ対策\AmateurRadioOperator\AmateurFirstClassRadioOperatorExam\"/>
    </mc:Choice>
  </mc:AlternateContent>
  <xr:revisionPtr revIDLastSave="0" documentId="13_ncr:1_{85D546EC-B3BD-4E18-B95E-9D4950C2E4AD}" xr6:coauthVersionLast="47" xr6:coauthVersionMax="47" xr10:uidLastSave="{00000000-0000-0000-0000-000000000000}"/>
  <bookViews>
    <workbookView xWindow="-38510" yWindow="-7240" windowWidth="38620" windowHeight="21100" xr2:uid="{00000000-000D-0000-FFFF-FFFF00000000}"/>
  </bookViews>
  <sheets>
    <sheet name="Sheet1" sheetId="1" r:id="rId1"/>
  </sheets>
  <definedNames>
    <definedName name="_xlnm._FilterDatabase" localSheetId="0" hidden="1">Sheet1!$A$1:$AD$215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7" i="1"/>
  <c r="G8" i="1"/>
  <c r="G9" i="1"/>
  <c r="G10" i="1"/>
  <c r="G11" i="1"/>
  <c r="G12" i="1"/>
  <c r="G13" i="1"/>
  <c r="G14" i="1"/>
  <c r="G15" i="1" s="1"/>
  <c r="G5" i="1"/>
  <c r="G4" i="1"/>
  <c r="I4" i="1" s="1"/>
  <c r="G82" i="1"/>
  <c r="G83" i="1" s="1"/>
  <c r="G81" i="1"/>
  <c r="I81" i="1"/>
  <c r="I151" i="1"/>
  <c r="I192" i="1"/>
  <c r="I193" i="1"/>
  <c r="I80" i="1"/>
  <c r="I3" i="1"/>
  <c r="I5" i="1"/>
  <c r="I6" i="1"/>
  <c r="I7" i="1"/>
  <c r="I8" i="1"/>
  <c r="I9" i="1"/>
  <c r="I10" i="1"/>
  <c r="I11" i="1"/>
  <c r="I12" i="1"/>
  <c r="I13" i="1"/>
  <c r="I2" i="1"/>
  <c r="N3" i="1"/>
  <c r="O3" i="1" s="1"/>
  <c r="N4" i="1"/>
  <c r="O4" i="1" s="1"/>
  <c r="N5" i="1"/>
  <c r="O5" i="1" s="1"/>
  <c r="N6" i="1"/>
  <c r="O6" i="1" s="1"/>
  <c r="N7" i="1"/>
  <c r="O7" i="1" s="1"/>
  <c r="N8" i="1"/>
  <c r="O8" i="1" s="1"/>
  <c r="N9" i="1"/>
  <c r="O9" i="1" s="1"/>
  <c r="N10" i="1"/>
  <c r="O10" i="1" s="1"/>
  <c r="N11" i="1"/>
  <c r="O11" i="1" s="1"/>
  <c r="N12" i="1"/>
  <c r="O12" i="1" s="1"/>
  <c r="N13" i="1"/>
  <c r="O13" i="1" s="1"/>
  <c r="N14" i="1"/>
  <c r="O14" i="1" s="1"/>
  <c r="N15" i="1"/>
  <c r="O15" i="1" s="1"/>
  <c r="N16" i="1"/>
  <c r="O16" i="1" s="1"/>
  <c r="N17" i="1"/>
  <c r="O17" i="1" s="1"/>
  <c r="N18" i="1"/>
  <c r="O18" i="1" s="1"/>
  <c r="N19" i="1"/>
  <c r="O19" i="1" s="1"/>
  <c r="N20" i="1"/>
  <c r="O20" i="1" s="1"/>
  <c r="N21" i="1"/>
  <c r="O21" i="1" s="1"/>
  <c r="N22" i="1"/>
  <c r="O22" i="1" s="1"/>
  <c r="N23" i="1"/>
  <c r="O23" i="1" s="1"/>
  <c r="N24" i="1"/>
  <c r="O24" i="1" s="1"/>
  <c r="N25" i="1"/>
  <c r="O25" i="1" s="1"/>
  <c r="N26" i="1"/>
  <c r="O26" i="1" s="1"/>
  <c r="N27" i="1"/>
  <c r="O27" i="1" s="1"/>
  <c r="N28" i="1"/>
  <c r="O28" i="1" s="1"/>
  <c r="N29" i="1"/>
  <c r="O29" i="1" s="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s="1"/>
  <c r="N48" i="1"/>
  <c r="O48" i="1" s="1"/>
  <c r="N49" i="1"/>
  <c r="O49" i="1" s="1"/>
  <c r="N50" i="1"/>
  <c r="O50" i="1" s="1"/>
  <c r="N51" i="1"/>
  <c r="O51" i="1" s="1"/>
  <c r="N52" i="1"/>
  <c r="O52" i="1" s="1"/>
  <c r="N53" i="1"/>
  <c r="O53" i="1" s="1"/>
  <c r="N54" i="1"/>
  <c r="O54" i="1" s="1"/>
  <c r="N55" i="1"/>
  <c r="O55" i="1" s="1"/>
  <c r="N56" i="1"/>
  <c r="O56" i="1" s="1"/>
  <c r="N57" i="1"/>
  <c r="O57" i="1" s="1"/>
  <c r="N58" i="1"/>
  <c r="O58" i="1" s="1"/>
  <c r="N59" i="1"/>
  <c r="O59" i="1" s="1"/>
  <c r="N60" i="1"/>
  <c r="O60" i="1" s="1"/>
  <c r="N61" i="1"/>
  <c r="O61" i="1" s="1"/>
  <c r="N62" i="1"/>
  <c r="O62" i="1" s="1"/>
  <c r="N63" i="1"/>
  <c r="O63" i="1" s="1"/>
  <c r="N64" i="1"/>
  <c r="O64" i="1" s="1"/>
  <c r="N65" i="1"/>
  <c r="O65" i="1" s="1"/>
  <c r="N66" i="1"/>
  <c r="O66" i="1" s="1"/>
  <c r="N67" i="1"/>
  <c r="O67" i="1" s="1"/>
  <c r="N68" i="1"/>
  <c r="O68" i="1" s="1"/>
  <c r="N69" i="1"/>
  <c r="O69" i="1" s="1"/>
  <c r="N70" i="1"/>
  <c r="O70" i="1" s="1"/>
  <c r="N71" i="1"/>
  <c r="O71" i="1" s="1"/>
  <c r="N72" i="1"/>
  <c r="O72" i="1" s="1"/>
  <c r="N73" i="1"/>
  <c r="O73" i="1" s="1"/>
  <c r="N74" i="1"/>
  <c r="O74" i="1" s="1"/>
  <c r="N75" i="1"/>
  <c r="O75" i="1" s="1"/>
  <c r="N76" i="1"/>
  <c r="O76" i="1" s="1"/>
  <c r="N77" i="1"/>
  <c r="O77" i="1" s="1"/>
  <c r="N78" i="1"/>
  <c r="O78" i="1" s="1"/>
  <c r="N79" i="1"/>
  <c r="O79" i="1" s="1"/>
  <c r="N80" i="1"/>
  <c r="O80" i="1" s="1"/>
  <c r="N81" i="1"/>
  <c r="O81" i="1" s="1"/>
  <c r="N82" i="1"/>
  <c r="O82" i="1" s="1"/>
  <c r="N83" i="1"/>
  <c r="O83" i="1" s="1"/>
  <c r="N84" i="1"/>
  <c r="O84" i="1" s="1"/>
  <c r="N85" i="1"/>
  <c r="O85" i="1" s="1"/>
  <c r="N86" i="1"/>
  <c r="O86" i="1" s="1"/>
  <c r="N87" i="1"/>
  <c r="O87" i="1" s="1"/>
  <c r="N88" i="1"/>
  <c r="O88" i="1" s="1"/>
  <c r="N89" i="1"/>
  <c r="O89" i="1" s="1"/>
  <c r="N90" i="1"/>
  <c r="O90" i="1" s="1"/>
  <c r="N91" i="1"/>
  <c r="O91" i="1" s="1"/>
  <c r="N92" i="1"/>
  <c r="O92" i="1" s="1"/>
  <c r="N93" i="1"/>
  <c r="O93" i="1" s="1"/>
  <c r="N94" i="1"/>
  <c r="O94" i="1" s="1"/>
  <c r="N95" i="1"/>
  <c r="O95" i="1" s="1"/>
  <c r="N96" i="1"/>
  <c r="O96" i="1" s="1"/>
  <c r="N97" i="1"/>
  <c r="O97" i="1" s="1"/>
  <c r="N98" i="1"/>
  <c r="O98" i="1" s="1"/>
  <c r="N99" i="1"/>
  <c r="O99" i="1" s="1"/>
  <c r="N100" i="1"/>
  <c r="O100" i="1" s="1"/>
  <c r="N101" i="1"/>
  <c r="O101" i="1" s="1"/>
  <c r="N102" i="1"/>
  <c r="O102" i="1" s="1"/>
  <c r="N103" i="1"/>
  <c r="O103" i="1" s="1"/>
  <c r="N104" i="1"/>
  <c r="O104" i="1" s="1"/>
  <c r="N105" i="1"/>
  <c r="O105" i="1" s="1"/>
  <c r="N106" i="1"/>
  <c r="O106" i="1" s="1"/>
  <c r="N107" i="1"/>
  <c r="O107" i="1" s="1"/>
  <c r="N108" i="1"/>
  <c r="O108" i="1" s="1"/>
  <c r="N109" i="1"/>
  <c r="O109" i="1" s="1"/>
  <c r="N110" i="1"/>
  <c r="O110" i="1" s="1"/>
  <c r="N111" i="1"/>
  <c r="O111" i="1" s="1"/>
  <c r="N112" i="1"/>
  <c r="O112" i="1" s="1"/>
  <c r="N113" i="1"/>
  <c r="O113" i="1" s="1"/>
  <c r="N114" i="1"/>
  <c r="O114" i="1" s="1"/>
  <c r="N115" i="1"/>
  <c r="O115" i="1" s="1"/>
  <c r="N116" i="1"/>
  <c r="O116" i="1" s="1"/>
  <c r="N117" i="1"/>
  <c r="O117" i="1" s="1"/>
  <c r="N118" i="1"/>
  <c r="O118" i="1" s="1"/>
  <c r="N119" i="1"/>
  <c r="O119" i="1" s="1"/>
  <c r="N120" i="1"/>
  <c r="O120" i="1" s="1"/>
  <c r="N121" i="1"/>
  <c r="O121" i="1" s="1"/>
  <c r="N122" i="1"/>
  <c r="O122" i="1" s="1"/>
  <c r="N123" i="1"/>
  <c r="O123" i="1" s="1"/>
  <c r="N124" i="1"/>
  <c r="O124" i="1" s="1"/>
  <c r="N125" i="1"/>
  <c r="O125" i="1" s="1"/>
  <c r="N126" i="1"/>
  <c r="O126" i="1" s="1"/>
  <c r="N127" i="1"/>
  <c r="O127" i="1" s="1"/>
  <c r="N128" i="1"/>
  <c r="O128" i="1" s="1"/>
  <c r="N129" i="1"/>
  <c r="O129" i="1" s="1"/>
  <c r="N130" i="1"/>
  <c r="O130" i="1" s="1"/>
  <c r="N131" i="1"/>
  <c r="O131" i="1" s="1"/>
  <c r="N132" i="1"/>
  <c r="O132" i="1" s="1"/>
  <c r="N133" i="1"/>
  <c r="O133" i="1" s="1"/>
  <c r="N134" i="1"/>
  <c r="O134" i="1" s="1"/>
  <c r="N135" i="1"/>
  <c r="O135" i="1" s="1"/>
  <c r="N136" i="1"/>
  <c r="O136" i="1" s="1"/>
  <c r="N137" i="1"/>
  <c r="O137" i="1" s="1"/>
  <c r="N138" i="1"/>
  <c r="O138" i="1" s="1"/>
  <c r="N139" i="1"/>
  <c r="O139" i="1" s="1"/>
  <c r="N140" i="1"/>
  <c r="O140" i="1" s="1"/>
  <c r="N141" i="1"/>
  <c r="O141" i="1" s="1"/>
  <c r="N142" i="1"/>
  <c r="O142" i="1" s="1"/>
  <c r="N143" i="1"/>
  <c r="O143" i="1" s="1"/>
  <c r="N144" i="1"/>
  <c r="O144" i="1" s="1"/>
  <c r="N145" i="1"/>
  <c r="O145" i="1" s="1"/>
  <c r="N146" i="1"/>
  <c r="O146" i="1" s="1"/>
  <c r="N147" i="1"/>
  <c r="O147" i="1" s="1"/>
  <c r="N148" i="1"/>
  <c r="O148" i="1" s="1"/>
  <c r="N149" i="1"/>
  <c r="O149" i="1" s="1"/>
  <c r="N150" i="1"/>
  <c r="O150" i="1" s="1"/>
  <c r="N151" i="1"/>
  <c r="O151" i="1" s="1"/>
  <c r="N152" i="1"/>
  <c r="O152" i="1" s="1"/>
  <c r="N153" i="1"/>
  <c r="O153" i="1" s="1"/>
  <c r="N154" i="1"/>
  <c r="O154" i="1" s="1"/>
  <c r="N155" i="1"/>
  <c r="O155" i="1" s="1"/>
  <c r="N156" i="1"/>
  <c r="O156" i="1" s="1"/>
  <c r="N157" i="1"/>
  <c r="O157" i="1" s="1"/>
  <c r="N158" i="1"/>
  <c r="O158" i="1" s="1"/>
  <c r="N159" i="1"/>
  <c r="O159" i="1" s="1"/>
  <c r="N160" i="1"/>
  <c r="O160" i="1" s="1"/>
  <c r="N161" i="1"/>
  <c r="O161" i="1" s="1"/>
  <c r="N162" i="1"/>
  <c r="O162" i="1" s="1"/>
  <c r="N163" i="1"/>
  <c r="O163" i="1" s="1"/>
  <c r="N164" i="1"/>
  <c r="O164" i="1" s="1"/>
  <c r="N165" i="1"/>
  <c r="O165" i="1" s="1"/>
  <c r="N166" i="1"/>
  <c r="O166" i="1" s="1"/>
  <c r="N167" i="1"/>
  <c r="O167" i="1" s="1"/>
  <c r="N168" i="1"/>
  <c r="O168" i="1" s="1"/>
  <c r="N169" i="1"/>
  <c r="O169" i="1" s="1"/>
  <c r="N170" i="1"/>
  <c r="O170" i="1" s="1"/>
  <c r="N171" i="1"/>
  <c r="O171" i="1" s="1"/>
  <c r="N172" i="1"/>
  <c r="O172" i="1" s="1"/>
  <c r="N173" i="1"/>
  <c r="O173" i="1" s="1"/>
  <c r="N174" i="1"/>
  <c r="O174" i="1" s="1"/>
  <c r="N175" i="1"/>
  <c r="O175" i="1" s="1"/>
  <c r="N176" i="1"/>
  <c r="O176" i="1" s="1"/>
  <c r="N177" i="1"/>
  <c r="O177" i="1" s="1"/>
  <c r="N178" i="1"/>
  <c r="O178" i="1" s="1"/>
  <c r="N179" i="1"/>
  <c r="O179" i="1" s="1"/>
  <c r="N180" i="1"/>
  <c r="O180" i="1" s="1"/>
  <c r="N181" i="1"/>
  <c r="O181" i="1" s="1"/>
  <c r="N182" i="1"/>
  <c r="O182" i="1" s="1"/>
  <c r="N183" i="1"/>
  <c r="O183" i="1" s="1"/>
  <c r="N184" i="1"/>
  <c r="O184" i="1" s="1"/>
  <c r="N185" i="1"/>
  <c r="O185" i="1" s="1"/>
  <c r="N186" i="1"/>
  <c r="O186" i="1" s="1"/>
  <c r="N187" i="1"/>
  <c r="O187" i="1" s="1"/>
  <c r="N188" i="1"/>
  <c r="O188" i="1" s="1"/>
  <c r="N189" i="1"/>
  <c r="O189" i="1" s="1"/>
  <c r="N190" i="1"/>
  <c r="O190" i="1" s="1"/>
  <c r="N191" i="1"/>
  <c r="O191" i="1" s="1"/>
  <c r="N192" i="1"/>
  <c r="O192" i="1" s="1"/>
  <c r="N193" i="1"/>
  <c r="O193" i="1" s="1"/>
  <c r="N194" i="1"/>
  <c r="O194" i="1" s="1"/>
  <c r="N195" i="1"/>
  <c r="O195" i="1" s="1"/>
  <c r="N196" i="1"/>
  <c r="O196" i="1" s="1"/>
  <c r="N197" i="1"/>
  <c r="O197" i="1" s="1"/>
  <c r="N198" i="1"/>
  <c r="O198" i="1" s="1"/>
  <c r="N199" i="1"/>
  <c r="O199" i="1" s="1"/>
  <c r="N200" i="1"/>
  <c r="O200" i="1" s="1"/>
  <c r="N201" i="1"/>
  <c r="O201" i="1" s="1"/>
  <c r="N202" i="1"/>
  <c r="O202" i="1" s="1"/>
  <c r="N203" i="1"/>
  <c r="O203" i="1" s="1"/>
  <c r="N204" i="1"/>
  <c r="O204" i="1" s="1"/>
  <c r="N205" i="1"/>
  <c r="O205" i="1" s="1"/>
  <c r="N206" i="1"/>
  <c r="O206" i="1" s="1"/>
  <c r="N207" i="1"/>
  <c r="O207" i="1" s="1"/>
  <c r="N208" i="1"/>
  <c r="O208" i="1" s="1"/>
  <c r="N209" i="1"/>
  <c r="O209" i="1" s="1"/>
  <c r="N210" i="1"/>
  <c r="O210" i="1" s="1"/>
  <c r="N211" i="1"/>
  <c r="O211" i="1" s="1"/>
  <c r="N212" i="1"/>
  <c r="O212" i="1" s="1"/>
  <c r="N213" i="1"/>
  <c r="O213" i="1" s="1"/>
  <c r="N214" i="1"/>
  <c r="O214" i="1" s="1"/>
  <c r="N215" i="1"/>
  <c r="O215" i="1" s="1"/>
  <c r="N2" i="1"/>
  <c r="O2" i="1" s="1"/>
  <c r="M223" i="1"/>
  <c r="M222" i="1"/>
  <c r="M221" i="1"/>
  <c r="M220" i="1"/>
  <c r="M219" i="1"/>
  <c r="M156" i="1" a="1"/>
  <c r="M156" i="1" s="1"/>
  <c r="L156" i="1"/>
  <c r="K156" i="1"/>
  <c r="K206" i="1"/>
  <c r="L206" i="1"/>
  <c r="M206" i="1" a="1"/>
  <c r="M206" i="1" s="1"/>
  <c r="M199" i="1" a="1"/>
  <c r="M199" i="1" s="1"/>
  <c r="L199" i="1"/>
  <c r="K199" i="1"/>
  <c r="K173" i="1"/>
  <c r="L173" i="1"/>
  <c r="M173" i="1" a="1"/>
  <c r="M173" i="1" s="1"/>
  <c r="M18" i="1" a="1"/>
  <c r="M18" i="1" s="1"/>
  <c r="L18" i="1"/>
  <c r="K18" i="1"/>
  <c r="M47" i="1" a="1"/>
  <c r="M47" i="1" s="1"/>
  <c r="L47" i="1"/>
  <c r="K47" i="1"/>
  <c r="M32" i="1" a="1"/>
  <c r="M32" i="1" s="1"/>
  <c r="L32" i="1"/>
  <c r="K32" i="1"/>
  <c r="M197" i="1" a="1"/>
  <c r="M197" i="1" s="1"/>
  <c r="L197" i="1"/>
  <c r="K197" i="1"/>
  <c r="K190" i="1"/>
  <c r="L190" i="1"/>
  <c r="M190" i="1" a="1"/>
  <c r="M190" i="1" s="1"/>
  <c r="K160" i="1"/>
  <c r="L160" i="1"/>
  <c r="M160" i="1" a="1"/>
  <c r="M160" i="1" s="1"/>
  <c r="K120" i="1"/>
  <c r="L120" i="1"/>
  <c r="M120" i="1" a="1"/>
  <c r="M120" i="1" s="1"/>
  <c r="M84" i="1" a="1"/>
  <c r="M84" i="1" s="1"/>
  <c r="L84" i="1"/>
  <c r="K84" i="1"/>
  <c r="M57" i="1" a="1"/>
  <c r="M57" i="1" s="1"/>
  <c r="L57" i="1"/>
  <c r="K57" i="1"/>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8" i="1" a="1"/>
  <c r="M48" i="1" s="1"/>
  <c r="M49" i="1" a="1"/>
  <c r="M49" i="1" s="1"/>
  <c r="M50" i="1" a="1"/>
  <c r="M50" i="1" s="1"/>
  <c r="M51" i="1" a="1"/>
  <c r="M51" i="1" s="1"/>
  <c r="M52" i="1" a="1"/>
  <c r="M52" i="1" s="1"/>
  <c r="M53" i="1" a="1"/>
  <c r="M53" i="1" s="1"/>
  <c r="M54" i="1" a="1"/>
  <c r="M54" i="1" s="1"/>
  <c r="M55" i="1" a="1"/>
  <c r="M55" i="1" s="1"/>
  <c r="M56" i="1" a="1"/>
  <c r="M56"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1" i="1" a="1"/>
  <c r="M121" i="1" s="1"/>
  <c r="M122" i="1" a="1"/>
  <c r="M122" i="1" s="1"/>
  <c r="M123" i="1" a="1"/>
  <c r="M123" i="1" s="1"/>
  <c r="M124" i="1" a="1"/>
  <c r="M124" i="1" s="1"/>
  <c r="M125" i="1" a="1"/>
  <c r="M125" i="1" s="1"/>
  <c r="M126" i="1" a="1"/>
  <c r="M126" i="1" s="1"/>
  <c r="M127" i="1" a="1"/>
  <c r="M127" i="1" s="1"/>
  <c r="M128" i="1" a="1"/>
  <c r="M128" i="1" s="1"/>
  <c r="M129" i="1" a="1"/>
  <c r="M129" i="1" s="1"/>
  <c r="M130" i="1" a="1"/>
  <c r="M130" i="1" s="1"/>
  <c r="M131" i="1" a="1"/>
  <c r="M131" i="1" s="1"/>
  <c r="M132" i="1" a="1"/>
  <c r="M132" i="1" s="1"/>
  <c r="M133" i="1" a="1"/>
  <c r="M133" i="1" s="1"/>
  <c r="M134" i="1" a="1"/>
  <c r="M134" i="1" s="1"/>
  <c r="M135" i="1" a="1"/>
  <c r="M135" i="1" s="1"/>
  <c r="M136" i="1" a="1"/>
  <c r="M136" i="1" s="1"/>
  <c r="M137" i="1" a="1"/>
  <c r="M137" i="1" s="1"/>
  <c r="M138" i="1" a="1"/>
  <c r="M138" i="1" s="1"/>
  <c r="M139" i="1" a="1"/>
  <c r="M139" i="1" s="1"/>
  <c r="M140" i="1" a="1"/>
  <c r="M140" i="1" s="1"/>
  <c r="M141" i="1" a="1"/>
  <c r="M141" i="1" s="1"/>
  <c r="M142" i="1" a="1"/>
  <c r="M142" i="1" s="1"/>
  <c r="M143" i="1" a="1"/>
  <c r="M143" i="1" s="1"/>
  <c r="M144" i="1" a="1"/>
  <c r="M144" i="1" s="1"/>
  <c r="M145" i="1" a="1"/>
  <c r="M145" i="1" s="1"/>
  <c r="M146" i="1" a="1"/>
  <c r="M146" i="1" s="1"/>
  <c r="M147" i="1" a="1"/>
  <c r="M147" i="1" s="1"/>
  <c r="M148" i="1" a="1"/>
  <c r="M148" i="1" s="1"/>
  <c r="M149" i="1" a="1"/>
  <c r="M149" i="1" s="1"/>
  <c r="M150" i="1" a="1"/>
  <c r="M150" i="1" s="1"/>
  <c r="M151" i="1" a="1"/>
  <c r="M151" i="1" s="1"/>
  <c r="M152" i="1" a="1"/>
  <c r="M152" i="1" s="1"/>
  <c r="M153" i="1" a="1"/>
  <c r="M153" i="1" s="1"/>
  <c r="M154" i="1" a="1"/>
  <c r="M154" i="1" s="1"/>
  <c r="M155" i="1" a="1"/>
  <c r="M155" i="1" s="1"/>
  <c r="M157" i="1" a="1"/>
  <c r="M157" i="1" s="1"/>
  <c r="M158" i="1" a="1"/>
  <c r="M158" i="1" s="1"/>
  <c r="M159" i="1" a="1"/>
  <c r="M159" i="1" s="1"/>
  <c r="M161" i="1" a="1"/>
  <c r="M161" i="1" s="1"/>
  <c r="M162" i="1" a="1"/>
  <c r="M162" i="1" s="1"/>
  <c r="M163" i="1" a="1"/>
  <c r="M163" i="1" s="1"/>
  <c r="M164" i="1" a="1"/>
  <c r="M164" i="1" s="1"/>
  <c r="M165" i="1" a="1"/>
  <c r="M165" i="1" s="1"/>
  <c r="M166" i="1" a="1"/>
  <c r="M166" i="1" s="1"/>
  <c r="M167" i="1" a="1"/>
  <c r="M167" i="1" s="1"/>
  <c r="M168" i="1" a="1"/>
  <c r="M168" i="1" s="1"/>
  <c r="M169" i="1" a="1"/>
  <c r="M169" i="1" s="1"/>
  <c r="M170" i="1" a="1"/>
  <c r="M170" i="1" s="1"/>
  <c r="M171" i="1" a="1"/>
  <c r="M171" i="1" s="1"/>
  <c r="M172" i="1" a="1"/>
  <c r="M172" i="1" s="1"/>
  <c r="M174" i="1" a="1"/>
  <c r="M174" i="1" s="1"/>
  <c r="M175" i="1" a="1"/>
  <c r="M175" i="1" s="1"/>
  <c r="M176" i="1" a="1"/>
  <c r="M176" i="1" s="1"/>
  <c r="M177" i="1" a="1"/>
  <c r="M177" i="1" s="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1" i="1" a="1"/>
  <c r="M191" i="1" s="1"/>
  <c r="M192" i="1" a="1"/>
  <c r="M192" i="1" s="1"/>
  <c r="M193" i="1" a="1"/>
  <c r="M193" i="1" s="1"/>
  <c r="M194" i="1" a="1"/>
  <c r="M194" i="1" s="1"/>
  <c r="M195" i="1" a="1"/>
  <c r="M195" i="1" s="1"/>
  <c r="M196" i="1" a="1"/>
  <c r="M196" i="1" s="1"/>
  <c r="M198" i="1" a="1"/>
  <c r="M198" i="1" s="1"/>
  <c r="M200" i="1" a="1"/>
  <c r="M200" i="1" s="1"/>
  <c r="M201" i="1" a="1"/>
  <c r="M201" i="1" s="1"/>
  <c r="M202" i="1" a="1"/>
  <c r="M202" i="1" s="1"/>
  <c r="M203" i="1" a="1"/>
  <c r="M203" i="1" s="1"/>
  <c r="M204" i="1" a="1"/>
  <c r="M204" i="1" s="1"/>
  <c r="M205" i="1" a="1"/>
  <c r="M205" i="1" s="1"/>
  <c r="M207" i="1" a="1"/>
  <c r="M207" i="1" s="1"/>
  <c r="M208" i="1" a="1"/>
  <c r="M208" i="1" s="1"/>
  <c r="M209" i="1" a="1"/>
  <c r="M209" i="1" s="1"/>
  <c r="M210" i="1" a="1"/>
  <c r="M210" i="1" s="1"/>
  <c r="M211" i="1" a="1"/>
  <c r="M211" i="1" s="1"/>
  <c r="M212" i="1" a="1"/>
  <c r="M212" i="1" s="1"/>
  <c r="M213" i="1" a="1"/>
  <c r="M213" i="1" s="1"/>
  <c r="M214" i="1" a="1"/>
  <c r="M214" i="1" s="1"/>
  <c r="M215" i="1" a="1"/>
  <c r="M215" i="1" s="1"/>
  <c r="M2" i="1" a="1"/>
  <c r="M2" i="1" s="1"/>
  <c r="K7" i="1"/>
  <c r="L7" i="1"/>
  <c r="L196" i="1"/>
  <c r="K196" i="1"/>
  <c r="K191" i="1"/>
  <c r="L191" i="1"/>
  <c r="K163" i="1"/>
  <c r="L163" i="1"/>
  <c r="K128" i="1"/>
  <c r="L128" i="1"/>
  <c r="L72" i="1"/>
  <c r="K72" i="1"/>
  <c r="K9" i="1"/>
  <c r="L9" i="1"/>
  <c r="K166" i="1"/>
  <c r="L166" i="1"/>
  <c r="L76" i="1"/>
  <c r="K76" i="1"/>
  <c r="K20" i="1"/>
  <c r="L20" i="1"/>
  <c r="K131" i="1"/>
  <c r="L131" i="1"/>
  <c r="L214" i="1"/>
  <c r="K214" i="1"/>
  <c r="K168" i="1"/>
  <c r="L168" i="1"/>
  <c r="L108" i="1"/>
  <c r="K108" i="1"/>
  <c r="K33" i="1"/>
  <c r="L33" i="1"/>
  <c r="K54" i="1"/>
  <c r="L54" i="1"/>
  <c r="K165" i="1"/>
  <c r="L165" i="1"/>
  <c r="K19" i="1"/>
  <c r="L19" i="1"/>
  <c r="L188" i="1"/>
  <c r="K188" i="1"/>
  <c r="K140" i="1"/>
  <c r="L140" i="1"/>
  <c r="L116" i="1"/>
  <c r="K116" i="1"/>
  <c r="K109" i="1"/>
  <c r="L109" i="1"/>
  <c r="L31" i="1"/>
  <c r="K31" i="1"/>
  <c r="K4" i="1"/>
  <c r="L4" i="1"/>
  <c r="K62" i="1"/>
  <c r="L62" i="1"/>
  <c r="L75" i="1"/>
  <c r="K75" i="1"/>
  <c r="L164" i="1"/>
  <c r="K164" i="1"/>
  <c r="K204" i="1"/>
  <c r="L204" i="1"/>
  <c r="L194" i="1"/>
  <c r="K194" i="1"/>
  <c r="K145" i="1"/>
  <c r="L145" i="1"/>
  <c r="K94" i="1"/>
  <c r="L94" i="1"/>
  <c r="K61" i="1"/>
  <c r="L61" i="1"/>
  <c r="K36" i="1"/>
  <c r="L36" i="1"/>
  <c r="L205" i="1"/>
  <c r="K205" i="1"/>
  <c r="K189" i="1"/>
  <c r="L189" i="1"/>
  <c r="L203" i="1"/>
  <c r="K203" i="1"/>
  <c r="K153" i="1"/>
  <c r="L153" i="1"/>
  <c r="L141" i="1"/>
  <c r="K141" i="1"/>
  <c r="K105" i="1"/>
  <c r="L105" i="1"/>
  <c r="K83" i="1"/>
  <c r="L83" i="1"/>
  <c r="K45" i="1"/>
  <c r="L45" i="1"/>
  <c r="K30" i="1"/>
  <c r="L30" i="1"/>
  <c r="K40" i="1"/>
  <c r="L40" i="1"/>
  <c r="K79" i="1"/>
  <c r="L79" i="1"/>
  <c r="K11" i="1"/>
  <c r="L11" i="1"/>
  <c r="K25" i="1"/>
  <c r="L25" i="1"/>
  <c r="K104" i="1"/>
  <c r="L104" i="1"/>
  <c r="K178" i="1"/>
  <c r="L178" i="1"/>
  <c r="K212" i="1"/>
  <c r="L212" i="1"/>
  <c r="K172" i="1"/>
  <c r="L172" i="1"/>
  <c r="K176" i="1"/>
  <c r="L176" i="1"/>
  <c r="L134" i="1"/>
  <c r="K134" i="1"/>
  <c r="K150" i="1"/>
  <c r="L150" i="1"/>
  <c r="K119" i="1"/>
  <c r="L119" i="1"/>
  <c r="K110" i="1"/>
  <c r="L110" i="1"/>
  <c r="K63" i="1"/>
  <c r="L63" i="1"/>
  <c r="K16" i="1"/>
  <c r="L16" i="1"/>
  <c r="K17" i="1"/>
  <c r="L17" i="1"/>
  <c r="K22" i="1"/>
  <c r="L22" i="1"/>
  <c r="K202" i="1"/>
  <c r="L202" i="1"/>
  <c r="K98" i="1"/>
  <c r="L98" i="1"/>
  <c r="K77" i="1"/>
  <c r="L77" i="1"/>
  <c r="K78" i="1"/>
  <c r="L78" i="1"/>
  <c r="K15" i="1"/>
  <c r="L15" i="1"/>
  <c r="K201" i="1"/>
  <c r="L201" i="1"/>
  <c r="K28" i="1"/>
  <c r="L28" i="1"/>
  <c r="K43" i="1"/>
  <c r="L43" i="1"/>
  <c r="K34" i="1"/>
  <c r="L34" i="1"/>
  <c r="K35" i="1"/>
  <c r="L35" i="1"/>
  <c r="K41" i="1"/>
  <c r="L41" i="1"/>
  <c r="K37" i="1"/>
  <c r="L37" i="1"/>
  <c r="K38" i="1"/>
  <c r="L38" i="1"/>
  <c r="K39" i="1"/>
  <c r="L39" i="1"/>
  <c r="K42" i="1"/>
  <c r="L42" i="1"/>
  <c r="K44" i="1"/>
  <c r="L44" i="1"/>
  <c r="L2" i="1"/>
  <c r="L215" i="1"/>
  <c r="L213" i="1"/>
  <c r="L211" i="1"/>
  <c r="L210" i="1"/>
  <c r="L209" i="1"/>
  <c r="L208" i="1"/>
  <c r="L207" i="1"/>
  <c r="L200" i="1"/>
  <c r="L198" i="1"/>
  <c r="L195" i="1"/>
  <c r="L193" i="1"/>
  <c r="L192" i="1"/>
  <c r="L187" i="1"/>
  <c r="L186" i="1"/>
  <c r="L185" i="1"/>
  <c r="L184" i="1"/>
  <c r="L183" i="1"/>
  <c r="L182" i="1"/>
  <c r="L181" i="1"/>
  <c r="L180" i="1"/>
  <c r="L179" i="1"/>
  <c r="L177" i="1"/>
  <c r="L175" i="1"/>
  <c r="L174" i="1"/>
  <c r="L171" i="1"/>
  <c r="L170" i="1"/>
  <c r="L169" i="1"/>
  <c r="L167" i="1"/>
  <c r="L162" i="1"/>
  <c r="L161" i="1"/>
  <c r="L159" i="1"/>
  <c r="L158" i="1"/>
  <c r="L157" i="1"/>
  <c r="L155" i="1"/>
  <c r="L154" i="1"/>
  <c r="L152" i="1"/>
  <c r="L151" i="1"/>
  <c r="L149" i="1"/>
  <c r="L148" i="1"/>
  <c r="L147" i="1"/>
  <c r="L146" i="1"/>
  <c r="L144" i="1"/>
  <c r="L143" i="1"/>
  <c r="L142" i="1"/>
  <c r="L139" i="1"/>
  <c r="L138" i="1"/>
  <c r="L137" i="1"/>
  <c r="L136" i="1"/>
  <c r="L135" i="1"/>
  <c r="L133" i="1"/>
  <c r="L132" i="1"/>
  <c r="L130" i="1"/>
  <c r="L129" i="1"/>
  <c r="L127" i="1"/>
  <c r="L126" i="1"/>
  <c r="L125" i="1"/>
  <c r="L124" i="1"/>
  <c r="L123" i="1"/>
  <c r="L53" i="1"/>
  <c r="L122" i="1"/>
  <c r="L121" i="1"/>
  <c r="L118" i="1"/>
  <c r="L117" i="1"/>
  <c r="L115" i="1"/>
  <c r="L114" i="1"/>
  <c r="L113" i="1"/>
  <c r="L112" i="1"/>
  <c r="L111" i="1"/>
  <c r="L107" i="1"/>
  <c r="L106" i="1"/>
  <c r="L103" i="1"/>
  <c r="L102" i="1"/>
  <c r="L101" i="1"/>
  <c r="L100" i="1"/>
  <c r="L99" i="1"/>
  <c r="L97" i="1"/>
  <c r="L96" i="1"/>
  <c r="L95" i="1"/>
  <c r="L93" i="1"/>
  <c r="L92" i="1"/>
  <c r="L91" i="1"/>
  <c r="L90" i="1"/>
  <c r="L89" i="1"/>
  <c r="L88" i="1"/>
  <c r="L87" i="1"/>
  <c r="L86" i="1"/>
  <c r="L85" i="1"/>
  <c r="L82" i="1"/>
  <c r="L81" i="1"/>
  <c r="L80" i="1"/>
  <c r="L74" i="1"/>
  <c r="L73" i="1"/>
  <c r="L71" i="1"/>
  <c r="L70" i="1"/>
  <c r="L69" i="1"/>
  <c r="L68" i="1"/>
  <c r="L67" i="1"/>
  <c r="L66" i="1"/>
  <c r="L65" i="1"/>
  <c r="L64" i="1"/>
  <c r="L60" i="1"/>
  <c r="L59" i="1"/>
  <c r="L58" i="1"/>
  <c r="L56" i="1"/>
  <c r="L55" i="1"/>
  <c r="L52" i="1"/>
  <c r="L51" i="1"/>
  <c r="L50" i="1"/>
  <c r="L49" i="1"/>
  <c r="L48" i="1"/>
  <c r="L46" i="1"/>
  <c r="L29" i="1"/>
  <c r="L27" i="1"/>
  <c r="L26" i="1"/>
  <c r="L24" i="1"/>
  <c r="L23" i="1"/>
  <c r="L21" i="1"/>
  <c r="L14" i="1"/>
  <c r="L13" i="1"/>
  <c r="L12" i="1"/>
  <c r="L10" i="1"/>
  <c r="L8" i="1"/>
  <c r="L6" i="1"/>
  <c r="L5" i="1"/>
  <c r="L3" i="1"/>
  <c r="K200" i="1"/>
  <c r="K180" i="1"/>
  <c r="K171" i="1"/>
  <c r="K159" i="1"/>
  <c r="K149" i="1"/>
  <c r="K144" i="1"/>
  <c r="K127" i="1"/>
  <c r="K129" i="1"/>
  <c r="K130" i="1"/>
  <c r="K132" i="1"/>
  <c r="K112" i="1"/>
  <c r="K113" i="1"/>
  <c r="K114" i="1"/>
  <c r="K115" i="1"/>
  <c r="K117" i="1"/>
  <c r="K118" i="1"/>
  <c r="K121" i="1"/>
  <c r="K99" i="1"/>
  <c r="K87" i="1"/>
  <c r="K46" i="1"/>
  <c r="K71" i="1"/>
  <c r="K10" i="1"/>
  <c r="K93" i="1"/>
  <c r="K187" i="1"/>
  <c r="K157" i="1"/>
  <c r="K162" i="1"/>
  <c r="K136" i="1"/>
  <c r="K148" i="1"/>
  <c r="K100" i="1"/>
  <c r="K111" i="1"/>
  <c r="K3" i="1"/>
  <c r="K5" i="1"/>
  <c r="K6" i="1"/>
  <c r="K8" i="1"/>
  <c r="K12" i="1"/>
  <c r="K13" i="1"/>
  <c r="K14" i="1"/>
  <c r="K21" i="1"/>
  <c r="K23" i="1"/>
  <c r="K24" i="1"/>
  <c r="K26" i="1"/>
  <c r="K27" i="1"/>
  <c r="K29" i="1"/>
  <c r="K48" i="1"/>
  <c r="K49" i="1"/>
  <c r="K50" i="1"/>
  <c r="K51" i="1"/>
  <c r="K52" i="1"/>
  <c r="K55" i="1"/>
  <c r="K56" i="1"/>
  <c r="K58" i="1"/>
  <c r="K59" i="1"/>
  <c r="K60" i="1"/>
  <c r="K64" i="1"/>
  <c r="K65" i="1"/>
  <c r="K66" i="1"/>
  <c r="K67" i="1"/>
  <c r="K68" i="1"/>
  <c r="K69" i="1"/>
  <c r="K70" i="1"/>
  <c r="K73" i="1"/>
  <c r="K74" i="1"/>
  <c r="K80" i="1"/>
  <c r="K81" i="1"/>
  <c r="K82" i="1"/>
  <c r="K85" i="1"/>
  <c r="K86" i="1"/>
  <c r="K88" i="1"/>
  <c r="K89" i="1"/>
  <c r="K90" i="1"/>
  <c r="K91" i="1"/>
  <c r="K92" i="1"/>
  <c r="K95" i="1"/>
  <c r="K96" i="1"/>
  <c r="K97" i="1"/>
  <c r="K101" i="1"/>
  <c r="K102" i="1"/>
  <c r="K103" i="1"/>
  <c r="K106" i="1"/>
  <c r="K107" i="1"/>
  <c r="K122" i="1"/>
  <c r="K53" i="1"/>
  <c r="K123" i="1"/>
  <c r="K124" i="1"/>
  <c r="K125" i="1"/>
  <c r="K126" i="1"/>
  <c r="K133" i="1"/>
  <c r="K135" i="1"/>
  <c r="K137" i="1"/>
  <c r="K138" i="1"/>
  <c r="K139" i="1"/>
  <c r="K142" i="1"/>
  <c r="K143" i="1"/>
  <c r="K146" i="1"/>
  <c r="K147" i="1"/>
  <c r="K151" i="1"/>
  <c r="K152" i="1"/>
  <c r="K154" i="1"/>
  <c r="K155" i="1"/>
  <c r="K158" i="1"/>
  <c r="K161" i="1"/>
  <c r="K167" i="1"/>
  <c r="K169" i="1"/>
  <c r="K170" i="1"/>
  <c r="K174" i="1"/>
  <c r="K175" i="1"/>
  <c r="K177" i="1"/>
  <c r="K179" i="1"/>
  <c r="K181" i="1"/>
  <c r="K182" i="1"/>
  <c r="K183" i="1"/>
  <c r="K184" i="1"/>
  <c r="K185" i="1"/>
  <c r="K186" i="1"/>
  <c r="K192" i="1"/>
  <c r="K193" i="1"/>
  <c r="K195" i="1"/>
  <c r="K198" i="1"/>
  <c r="K207" i="1"/>
  <c r="K208" i="1"/>
  <c r="K209" i="1"/>
  <c r="K210" i="1"/>
  <c r="K211" i="1"/>
  <c r="K213" i="1"/>
  <c r="K215" i="1"/>
  <c r="K2" i="1"/>
  <c r="G16" i="1" l="1"/>
  <c r="I15" i="1"/>
  <c r="I14" i="1"/>
  <c r="I194" i="1"/>
  <c r="I152" i="1"/>
  <c r="G84" i="1"/>
  <c r="I83" i="1"/>
  <c r="I82" i="1"/>
  <c r="F161" i="1"/>
  <c r="F121" i="1"/>
  <c r="F106" i="1"/>
  <c r="F34" i="1"/>
  <c r="F44" i="1"/>
  <c r="F55" i="1"/>
  <c r="F113" i="1"/>
  <c r="F66" i="1"/>
  <c r="F73" i="1"/>
  <c r="F59" i="1"/>
  <c r="F137" i="1"/>
  <c r="F86" i="1"/>
  <c r="F95" i="1"/>
  <c r="F179" i="1"/>
  <c r="F90" i="1"/>
  <c r="F182" i="1"/>
  <c r="F177" i="1"/>
  <c r="F41" i="1"/>
  <c r="F213" i="1"/>
  <c r="F132" i="1"/>
  <c r="F192" i="1"/>
  <c r="F129" i="1"/>
  <c r="F123" i="1"/>
  <c r="F147" i="1"/>
  <c r="F174" i="1"/>
  <c r="F167" i="1"/>
  <c r="F142" i="1"/>
  <c r="F207" i="1"/>
  <c r="F151" i="1"/>
  <c r="F80" i="1"/>
  <c r="F12" i="1"/>
  <c r="F78" i="1"/>
  <c r="F37" i="1"/>
  <c r="F17" i="1"/>
  <c r="F2" i="1"/>
  <c r="F26" i="1"/>
  <c r="F5" i="1"/>
  <c r="F23" i="1"/>
  <c r="M224" i="1"/>
  <c r="N223" i="1" s="1"/>
  <c r="I16" i="1" l="1"/>
  <c r="G17" i="1"/>
  <c r="I195" i="1"/>
  <c r="I153" i="1"/>
  <c r="G85" i="1"/>
  <c r="I84" i="1"/>
  <c r="N222" i="1"/>
  <c r="N221" i="1" s="1"/>
  <c r="N220" i="1" s="1"/>
  <c r="N219" i="1" s="1"/>
  <c r="G18" i="1" l="1"/>
  <c r="I17" i="1"/>
  <c r="I196" i="1"/>
  <c r="I154" i="1"/>
  <c r="G86" i="1"/>
  <c r="I85" i="1"/>
  <c r="G19" i="1" l="1"/>
  <c r="I18" i="1"/>
  <c r="I197" i="1"/>
  <c r="I155" i="1"/>
  <c r="G87" i="1"/>
  <c r="I86" i="1"/>
  <c r="G20" i="1" l="1"/>
  <c r="I19" i="1"/>
  <c r="I198" i="1"/>
  <c r="I156" i="1"/>
  <c r="G88" i="1"/>
  <c r="I87" i="1"/>
  <c r="G21" i="1" l="1"/>
  <c r="I20" i="1"/>
  <c r="I199" i="1"/>
  <c r="I157" i="1"/>
  <c r="G89" i="1"/>
  <c r="I88" i="1"/>
  <c r="G22" i="1" l="1"/>
  <c r="I21" i="1"/>
  <c r="I200" i="1"/>
  <c r="I158" i="1"/>
  <c r="G90" i="1"/>
  <c r="I89" i="1"/>
  <c r="G23" i="1" l="1"/>
  <c r="I22" i="1"/>
  <c r="I201" i="1"/>
  <c r="I159" i="1"/>
  <c r="I90" i="1"/>
  <c r="G24" i="1" l="1"/>
  <c r="I23" i="1"/>
  <c r="I202" i="1"/>
  <c r="I160" i="1"/>
  <c r="I91" i="1"/>
  <c r="G25" i="1" l="1"/>
  <c r="I24" i="1"/>
  <c r="I203" i="1"/>
  <c r="I161" i="1"/>
  <c r="I92" i="1"/>
  <c r="G26" i="1" l="1"/>
  <c r="I25" i="1"/>
  <c r="I204" i="1"/>
  <c r="I162" i="1"/>
  <c r="I93" i="1"/>
  <c r="G27" i="1" l="1"/>
  <c r="I26" i="1"/>
  <c r="I205" i="1"/>
  <c r="I163" i="1"/>
  <c r="I94" i="1"/>
  <c r="G28" i="1" l="1"/>
  <c r="I27" i="1"/>
  <c r="I206" i="1"/>
  <c r="I164" i="1"/>
  <c r="I95" i="1"/>
  <c r="G29" i="1" l="1"/>
  <c r="I28" i="1"/>
  <c r="I207" i="1"/>
  <c r="I165" i="1"/>
  <c r="I96" i="1"/>
  <c r="G30" i="1" l="1"/>
  <c r="I29" i="1"/>
  <c r="I208" i="1"/>
  <c r="I166" i="1"/>
  <c r="I97" i="1"/>
  <c r="G31" i="1" l="1"/>
  <c r="I30" i="1"/>
  <c r="I209" i="1"/>
  <c r="I167" i="1"/>
  <c r="I98" i="1"/>
  <c r="G32" i="1" l="1"/>
  <c r="I31" i="1"/>
  <c r="I210" i="1"/>
  <c r="I168" i="1"/>
  <c r="I99" i="1"/>
  <c r="G33" i="1" l="1"/>
  <c r="I32" i="1"/>
  <c r="I211" i="1"/>
  <c r="I169" i="1"/>
  <c r="I100" i="1"/>
  <c r="G34" i="1" l="1"/>
  <c r="I33" i="1"/>
  <c r="I212" i="1"/>
  <c r="I170" i="1"/>
  <c r="I101" i="1"/>
  <c r="G35" i="1" l="1"/>
  <c r="I34" i="1"/>
  <c r="I213" i="1"/>
  <c r="I171" i="1"/>
  <c r="I102" i="1"/>
  <c r="I35" i="1" l="1"/>
  <c r="G36" i="1"/>
  <c r="I215" i="1"/>
  <c r="I214" i="1"/>
  <c r="I172" i="1"/>
  <c r="I103" i="1"/>
  <c r="G37" i="1" l="1"/>
  <c r="I36" i="1"/>
  <c r="I173" i="1"/>
  <c r="I104" i="1"/>
  <c r="I37" i="1" l="1"/>
  <c r="G38" i="1"/>
  <c r="I174" i="1"/>
  <c r="I105" i="1"/>
  <c r="G39" i="1" l="1"/>
  <c r="I38" i="1"/>
  <c r="I175" i="1"/>
  <c r="I106" i="1"/>
  <c r="G40" i="1" l="1"/>
  <c r="I39" i="1"/>
  <c r="I176" i="1"/>
  <c r="I107" i="1"/>
  <c r="G41" i="1" l="1"/>
  <c r="I40" i="1"/>
  <c r="I177" i="1"/>
  <c r="I108" i="1"/>
  <c r="I41" i="1" l="1"/>
  <c r="G42" i="1"/>
  <c r="I178" i="1"/>
  <c r="I109" i="1"/>
  <c r="I42" i="1" l="1"/>
  <c r="G43" i="1"/>
  <c r="I179" i="1"/>
  <c r="I110" i="1"/>
  <c r="I43" i="1" l="1"/>
  <c r="G44" i="1"/>
  <c r="I180" i="1"/>
  <c r="I111" i="1"/>
  <c r="G45" i="1" l="1"/>
  <c r="I44" i="1"/>
  <c r="I181" i="1"/>
  <c r="I112" i="1"/>
  <c r="G46" i="1" l="1"/>
  <c r="I45" i="1"/>
  <c r="I182" i="1"/>
  <c r="I113" i="1"/>
  <c r="G47" i="1" l="1"/>
  <c r="I46" i="1"/>
  <c r="I183" i="1"/>
  <c r="I114" i="1"/>
  <c r="G48" i="1" l="1"/>
  <c r="I47" i="1"/>
  <c r="I184" i="1"/>
  <c r="I115" i="1"/>
  <c r="G49" i="1" l="1"/>
  <c r="I48" i="1"/>
  <c r="I185" i="1"/>
  <c r="I116" i="1"/>
  <c r="G50" i="1" l="1"/>
  <c r="I49" i="1"/>
  <c r="I186" i="1"/>
  <c r="I117" i="1"/>
  <c r="G51" i="1" l="1"/>
  <c r="I50" i="1"/>
  <c r="I187" i="1"/>
  <c r="I118" i="1"/>
  <c r="G52" i="1" l="1"/>
  <c r="I51" i="1"/>
  <c r="I188" i="1"/>
  <c r="I119" i="1"/>
  <c r="G53" i="1" l="1"/>
  <c r="I52" i="1"/>
  <c r="I189" i="1"/>
  <c r="I120" i="1"/>
  <c r="G54" i="1" l="1"/>
  <c r="I53" i="1"/>
  <c r="I191" i="1"/>
  <c r="I190" i="1"/>
  <c r="I121" i="1"/>
  <c r="G55" i="1" l="1"/>
  <c r="I54" i="1"/>
  <c r="I122" i="1"/>
  <c r="G56" i="1" l="1"/>
  <c r="I55" i="1"/>
  <c r="I123" i="1"/>
  <c r="G57" i="1" l="1"/>
  <c r="I56" i="1"/>
  <c r="I124" i="1"/>
  <c r="G58" i="1" l="1"/>
  <c r="I57" i="1"/>
  <c r="I125" i="1"/>
  <c r="G59" i="1" l="1"/>
  <c r="I58" i="1"/>
  <c r="I126" i="1"/>
  <c r="G60" i="1" l="1"/>
  <c r="I59" i="1"/>
  <c r="I127" i="1"/>
  <c r="G61" i="1" l="1"/>
  <c r="I60" i="1"/>
  <c r="I128" i="1"/>
  <c r="G62" i="1" l="1"/>
  <c r="I61" i="1"/>
  <c r="I129" i="1"/>
  <c r="G63" i="1" l="1"/>
  <c r="I62" i="1"/>
  <c r="I130" i="1"/>
  <c r="I63" i="1" l="1"/>
  <c r="G64" i="1"/>
  <c r="I131" i="1"/>
  <c r="G65" i="1" l="1"/>
  <c r="I64" i="1"/>
  <c r="I132" i="1"/>
  <c r="G66" i="1" l="1"/>
  <c r="I65" i="1"/>
  <c r="I133" i="1"/>
  <c r="G67" i="1" l="1"/>
  <c r="I66" i="1"/>
  <c r="I134" i="1"/>
  <c r="G68" i="1" l="1"/>
  <c r="I67" i="1"/>
  <c r="I135" i="1"/>
  <c r="G69" i="1" l="1"/>
  <c r="I68" i="1"/>
  <c r="I136" i="1"/>
  <c r="G70" i="1" l="1"/>
  <c r="I69" i="1"/>
  <c r="I137" i="1"/>
  <c r="I70" i="1" l="1"/>
  <c r="G71" i="1"/>
  <c r="I138" i="1"/>
  <c r="I71" i="1" l="1"/>
  <c r="G72" i="1"/>
  <c r="I139" i="1"/>
  <c r="G73" i="1" l="1"/>
  <c r="I72" i="1"/>
  <c r="I140" i="1"/>
  <c r="G74" i="1" l="1"/>
  <c r="I73" i="1"/>
  <c r="I141" i="1"/>
  <c r="G75" i="1" l="1"/>
  <c r="I74" i="1"/>
  <c r="I142" i="1"/>
  <c r="G76" i="1" l="1"/>
  <c r="I75" i="1"/>
  <c r="I143" i="1"/>
  <c r="G77" i="1" l="1"/>
  <c r="I76" i="1"/>
  <c r="I144" i="1"/>
  <c r="G78" i="1" l="1"/>
  <c r="I77" i="1"/>
  <c r="I145" i="1"/>
  <c r="G79" i="1" l="1"/>
  <c r="I79" i="1" s="1"/>
  <c r="I78" i="1"/>
  <c r="I146" i="1"/>
  <c r="I147" i="1" l="1"/>
  <c r="I148" i="1" l="1"/>
  <c r="I150" i="1" l="1"/>
  <c r="I1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天野譲</author>
  </authors>
  <commentList>
    <comment ref="V38" authorId="0" shapeId="0" xr:uid="{13FB2E14-A3C7-4E75-8BC1-0963D859EB50}">
      <text>
        <r>
          <rPr>
            <b/>
            <sz val="9"/>
            <color indexed="81"/>
            <rFont val="MS P ゴシック"/>
            <family val="3"/>
            <charset val="128"/>
          </rPr>
          <t>天野譲:</t>
        </r>
        <r>
          <rPr>
            <sz val="9"/>
            <color indexed="81"/>
            <rFont val="MS P ゴシック"/>
            <family val="3"/>
            <charset val="128"/>
          </rPr>
          <t xml:space="preserve">
正解なし</t>
        </r>
      </text>
    </comment>
    <comment ref="H102" authorId="0" shapeId="0" xr:uid="{2FA29D13-8D9D-4272-888F-226F4FB9FC87}">
      <text>
        <r>
          <rPr>
            <b/>
            <sz val="9"/>
            <color indexed="81"/>
            <rFont val="MS P ゴシック"/>
            <family val="3"/>
            <charset val="128"/>
          </rPr>
          <t>天野譲:</t>
        </r>
        <r>
          <rPr>
            <sz val="9"/>
            <color indexed="81"/>
            <rFont val="MS P ゴシック"/>
            <family val="3"/>
            <charset val="128"/>
          </rPr>
          <t xml:space="preserve">
受信障害として受信機共通にまとめるか？</t>
        </r>
      </text>
    </comment>
    <comment ref="H110" authorId="0" shapeId="0" xr:uid="{E60C258E-1C1E-48A7-919A-BE35A40602D0}">
      <text>
        <r>
          <rPr>
            <b/>
            <sz val="9"/>
            <color indexed="81"/>
            <rFont val="MS P ゴシック"/>
            <family val="3"/>
            <charset val="128"/>
          </rPr>
          <t>天野譲:</t>
        </r>
        <r>
          <rPr>
            <sz val="9"/>
            <color indexed="81"/>
            <rFont val="MS P ゴシック"/>
            <family val="3"/>
            <charset val="128"/>
          </rPr>
          <t xml:space="preserve">
受信障害として受信機共通にまとめるか？</t>
        </r>
      </text>
    </comment>
    <comment ref="H112" authorId="0" shapeId="0" xr:uid="{C700051A-2CBC-4FD8-881E-60BB75D3833D}">
      <text>
        <r>
          <rPr>
            <b/>
            <sz val="9"/>
            <color indexed="81"/>
            <rFont val="MS P ゴシック"/>
            <family val="3"/>
            <charset val="128"/>
          </rPr>
          <t>天野譲:</t>
        </r>
        <r>
          <rPr>
            <sz val="9"/>
            <color indexed="81"/>
            <rFont val="MS P ゴシック"/>
            <family val="3"/>
            <charset val="128"/>
          </rPr>
          <t xml:space="preserve">
受信障害として受信機共通にまとめるか？</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<sst xmlns="http://schemas.openxmlformats.org/spreadsheetml/2006/main" count="1778" uniqueCount="611">
  <si>
    <t>無線工学の基礎</t>
    <rPh sb="0" eb="4">
      <t>ムセンコウガク</t>
    </rPh>
    <rPh sb="5" eb="7">
      <t>キソ</t>
    </rPh>
    <phoneticPr fontId="1"/>
  </si>
  <si>
    <t>コイルの電気的性質</t>
    <rPh sb="4" eb="9">
      <t>デンキテキセイシツ</t>
    </rPh>
    <phoneticPr fontId="1"/>
  </si>
  <si>
    <t>電気物理</t>
    <rPh sb="0" eb="4">
      <t>デンキブツリ</t>
    </rPh>
    <phoneticPr fontId="1"/>
  </si>
  <si>
    <t>論理回路</t>
    <rPh sb="0" eb="4">
      <t>ロンリカイロ</t>
    </rPh>
    <phoneticPr fontId="1"/>
  </si>
  <si>
    <t>暗記／計算</t>
    <rPh sb="0" eb="2">
      <t>アンキ</t>
    </rPh>
    <rPh sb="3" eb="5">
      <t>ケイサン</t>
    </rPh>
    <phoneticPr fontId="1"/>
  </si>
  <si>
    <t>暗記</t>
    <rPh sb="0" eb="2">
      <t>アンキ</t>
    </rPh>
    <phoneticPr fontId="1"/>
  </si>
  <si>
    <t>計算</t>
    <rPh sb="0" eb="2">
      <t>ケイサン</t>
    </rPh>
    <phoneticPr fontId="1"/>
  </si>
  <si>
    <t>無線工学A</t>
    <rPh sb="0" eb="4">
      <t>ムセンコウガク</t>
    </rPh>
    <phoneticPr fontId="1"/>
  </si>
  <si>
    <t>システム</t>
    <phoneticPr fontId="1"/>
  </si>
  <si>
    <t>電池</t>
    <rPh sb="0" eb="2">
      <t>デンチ</t>
    </rPh>
    <phoneticPr fontId="1"/>
  </si>
  <si>
    <t>電源</t>
    <rPh sb="0" eb="2">
      <t>デンゲン</t>
    </rPh>
    <phoneticPr fontId="1"/>
  </si>
  <si>
    <t>中分類</t>
    <rPh sb="0" eb="3">
      <t>チュウブンルイ</t>
    </rPh>
    <phoneticPr fontId="1"/>
  </si>
  <si>
    <t>大分類</t>
    <rPh sb="0" eb="1">
      <t>ダイ</t>
    </rPh>
    <rPh sb="1" eb="3">
      <t>ブンルイ</t>
    </rPh>
    <phoneticPr fontId="1"/>
  </si>
  <si>
    <t>令和7年11月</t>
    <rPh sb="0" eb="2">
      <t>レイワ</t>
    </rPh>
    <rPh sb="3" eb="4">
      <t>ネン</t>
    </rPh>
    <rPh sb="6" eb="7">
      <t>ガツ</t>
    </rPh>
    <phoneticPr fontId="1"/>
  </si>
  <si>
    <t>A1</t>
  </si>
  <si>
    <t>A2</t>
  </si>
  <si>
    <t>A3</t>
  </si>
  <si>
    <t>A4</t>
  </si>
  <si>
    <t>A5</t>
  </si>
  <si>
    <t>A6</t>
  </si>
  <si>
    <t>A7</t>
  </si>
  <si>
    <t>A8</t>
  </si>
  <si>
    <t>A9</t>
  </si>
  <si>
    <t>A10</t>
  </si>
  <si>
    <t>A11</t>
  </si>
  <si>
    <t>A12</t>
  </si>
  <si>
    <t>A13</t>
  </si>
  <si>
    <t>A14</t>
  </si>
  <si>
    <t>A15</t>
  </si>
  <si>
    <t>A16</t>
  </si>
  <si>
    <t>A17</t>
  </si>
  <si>
    <t>無線工学B</t>
    <rPh sb="0" eb="4">
      <t>ムセンコウガク</t>
    </rPh>
    <phoneticPr fontId="1"/>
  </si>
  <si>
    <t>アンテナ</t>
    <phoneticPr fontId="1"/>
  </si>
  <si>
    <t>A18</t>
    <phoneticPr fontId="1"/>
  </si>
  <si>
    <t>給電線</t>
    <rPh sb="0" eb="3">
      <t>キュウデンセン</t>
    </rPh>
    <phoneticPr fontId="1"/>
  </si>
  <si>
    <t>A19</t>
    <phoneticPr fontId="1"/>
  </si>
  <si>
    <t>A20</t>
    <phoneticPr fontId="1"/>
  </si>
  <si>
    <t>電波伝搬</t>
    <rPh sb="0" eb="4">
      <t>デンパデンパン</t>
    </rPh>
    <phoneticPr fontId="1"/>
  </si>
  <si>
    <t>A21</t>
    <phoneticPr fontId="1"/>
  </si>
  <si>
    <t>A22</t>
    <phoneticPr fontId="1"/>
  </si>
  <si>
    <t>A24</t>
    <phoneticPr fontId="1"/>
  </si>
  <si>
    <t>A23</t>
    <phoneticPr fontId="1"/>
  </si>
  <si>
    <t>A25</t>
    <phoneticPr fontId="1"/>
  </si>
  <si>
    <t>B1</t>
    <phoneticPr fontId="1"/>
  </si>
  <si>
    <t>B2</t>
    <phoneticPr fontId="1"/>
  </si>
  <si>
    <t>B3</t>
    <phoneticPr fontId="1"/>
  </si>
  <si>
    <t>B4</t>
    <phoneticPr fontId="1"/>
  </si>
  <si>
    <t>B5</t>
    <phoneticPr fontId="1"/>
  </si>
  <si>
    <t>A1</t>
    <phoneticPr fontId="1"/>
  </si>
  <si>
    <t>A2</t>
    <phoneticPr fontId="1"/>
  </si>
  <si>
    <t>A3</t>
    <phoneticPr fontId="1"/>
  </si>
  <si>
    <t>A4</t>
    <phoneticPr fontId="1"/>
  </si>
  <si>
    <t>デシベルを用いた計算</t>
    <rPh sb="5" eb="6">
      <t>モチ</t>
    </rPh>
    <rPh sb="8" eb="10">
      <t>ケイサン</t>
    </rPh>
    <phoneticPr fontId="1"/>
  </si>
  <si>
    <t>A6</t>
    <phoneticPr fontId="1"/>
  </si>
  <si>
    <t>A5</t>
    <phoneticPr fontId="1"/>
  </si>
  <si>
    <t>令和7年5月</t>
    <rPh sb="0" eb="2">
      <t>レイワ</t>
    </rPh>
    <rPh sb="3" eb="4">
      <t>ネン</t>
    </rPh>
    <rPh sb="5" eb="6">
      <t>ガツ</t>
    </rPh>
    <phoneticPr fontId="1"/>
  </si>
  <si>
    <t>A8</t>
    <phoneticPr fontId="1"/>
  </si>
  <si>
    <t>A9</t>
    <phoneticPr fontId="1"/>
  </si>
  <si>
    <t>A10</t>
    <phoneticPr fontId="1"/>
  </si>
  <si>
    <t>A11</t>
    <phoneticPr fontId="1"/>
  </si>
  <si>
    <t>A12</t>
    <phoneticPr fontId="1"/>
  </si>
  <si>
    <t>FM送信機</t>
    <rPh sb="2" eb="5">
      <t>ソウシンキ</t>
    </rPh>
    <phoneticPr fontId="1"/>
  </si>
  <si>
    <t>送信機共通</t>
    <rPh sb="0" eb="5">
      <t>ソウシンキキョウツウ</t>
    </rPh>
    <phoneticPr fontId="1"/>
  </si>
  <si>
    <t>A13</t>
    <phoneticPr fontId="1"/>
  </si>
  <si>
    <t>FM受信機</t>
    <rPh sb="2" eb="5">
      <t>ジュシンキ</t>
    </rPh>
    <phoneticPr fontId="1"/>
  </si>
  <si>
    <t>受信機共通</t>
    <rPh sb="0" eb="3">
      <t>ジュシンキ</t>
    </rPh>
    <rPh sb="3" eb="5">
      <t>キョウツウ</t>
    </rPh>
    <phoneticPr fontId="1"/>
  </si>
  <si>
    <t>A14</t>
    <phoneticPr fontId="1"/>
  </si>
  <si>
    <t>スーパヘテロダイン受信機における中間周波増幅器についての説明</t>
    <rPh sb="9" eb="12">
      <t>ジュシンキ</t>
    </rPh>
    <rPh sb="16" eb="20">
      <t>チュウカンシュウハ</t>
    </rPh>
    <rPh sb="20" eb="23">
      <t>ゾウフクキ</t>
    </rPh>
    <rPh sb="28" eb="30">
      <t>セツメイ</t>
    </rPh>
    <phoneticPr fontId="1"/>
  </si>
  <si>
    <t>A15</t>
    <phoneticPr fontId="1"/>
  </si>
  <si>
    <t>A16</t>
    <phoneticPr fontId="1"/>
  </si>
  <si>
    <t>A17</t>
    <phoneticPr fontId="1"/>
  </si>
  <si>
    <t>鉛蓄電池の浮動充電方式についての説明</t>
    <rPh sb="0" eb="4">
      <t>ナマリチクデンチ</t>
    </rPh>
    <rPh sb="5" eb="11">
      <t>フドウジュウデンホウシキ</t>
    </rPh>
    <rPh sb="16" eb="18">
      <t>セツメイ</t>
    </rPh>
    <phoneticPr fontId="1"/>
  </si>
  <si>
    <t>FM送信機の占有周波数帯幅の測定方法</t>
    <rPh sb="2" eb="5">
      <t>ソウシンキ</t>
    </rPh>
    <rPh sb="6" eb="11">
      <t>センユウシュウハスウ</t>
    </rPh>
    <rPh sb="11" eb="13">
      <t>タイハバ</t>
    </rPh>
    <rPh sb="14" eb="16">
      <t>ソクテイ</t>
    </rPh>
    <rPh sb="16" eb="18">
      <t>ホウホウ</t>
    </rPh>
    <phoneticPr fontId="1"/>
  </si>
  <si>
    <t>電気・電子部品</t>
    <rPh sb="0" eb="2">
      <t>デンキ</t>
    </rPh>
    <rPh sb="3" eb="5">
      <t>デンシ</t>
    </rPh>
    <rPh sb="5" eb="7">
      <t>ブヒン</t>
    </rPh>
    <phoneticPr fontId="1"/>
  </si>
  <si>
    <t>等価地球半径係数に関する説明</t>
    <rPh sb="0" eb="6">
      <t>トウカチキュウハンケイ</t>
    </rPh>
    <rPh sb="6" eb="8">
      <t>ケイスウ</t>
    </rPh>
    <rPh sb="9" eb="10">
      <t>カン</t>
    </rPh>
    <rPh sb="12" eb="14">
      <t>セツメイ</t>
    </rPh>
    <phoneticPr fontId="1"/>
  </si>
  <si>
    <t>令和6年12月</t>
    <rPh sb="0" eb="2">
      <t>レイワ</t>
    </rPh>
    <rPh sb="3" eb="4">
      <t>ネン</t>
    </rPh>
    <rPh sb="6" eb="7">
      <t>ガツ</t>
    </rPh>
    <phoneticPr fontId="1"/>
  </si>
  <si>
    <t>直列共振回路の共振状態における特性</t>
    <rPh sb="0" eb="2">
      <t>チョクレツ</t>
    </rPh>
    <rPh sb="2" eb="6">
      <t>キョウシンカイロ</t>
    </rPh>
    <rPh sb="7" eb="11">
      <t>キョウシンジョウタイ</t>
    </rPh>
    <rPh sb="15" eb="17">
      <t>トクセイ</t>
    </rPh>
    <phoneticPr fontId="1"/>
  </si>
  <si>
    <t>バイポーラトランジスタの電気的特性</t>
    <rPh sb="12" eb="15">
      <t>デンキテキ</t>
    </rPh>
    <rPh sb="15" eb="17">
      <t>トクセイ</t>
    </rPh>
    <phoneticPr fontId="1"/>
  </si>
  <si>
    <t>A7</t>
    <phoneticPr fontId="1"/>
  </si>
  <si>
    <t>SSB送信機の原理的構成例の各部動作</t>
    <rPh sb="3" eb="6">
      <t>ソウシンキ</t>
    </rPh>
    <rPh sb="7" eb="10">
      <t>ゲンリテキ</t>
    </rPh>
    <rPh sb="10" eb="13">
      <t>コウセイレイ</t>
    </rPh>
    <rPh sb="14" eb="18">
      <t>カクブドウサ</t>
    </rPh>
    <phoneticPr fontId="1"/>
  </si>
  <si>
    <t>混合型</t>
    <rPh sb="0" eb="3">
      <t>コンゴウガタ</t>
    </rPh>
    <phoneticPr fontId="1"/>
  </si>
  <si>
    <t>表皮効果の説明</t>
    <rPh sb="0" eb="4">
      <t>ヒョウヒコウカ</t>
    </rPh>
    <rPh sb="5" eb="7">
      <t>セツメイ</t>
    </rPh>
    <phoneticPr fontId="1"/>
  </si>
  <si>
    <t>受信機の選択度の測定</t>
    <rPh sb="0" eb="3">
      <t>ジュシンキ</t>
    </rPh>
    <rPh sb="4" eb="7">
      <t>センタクド</t>
    </rPh>
    <rPh sb="8" eb="10">
      <t>ソクテイ</t>
    </rPh>
    <phoneticPr fontId="1"/>
  </si>
  <si>
    <t>小分類</t>
    <rPh sb="0" eb="3">
      <t>ショウブンルイ</t>
    </rPh>
    <phoneticPr fontId="1"/>
  </si>
  <si>
    <t>出題内容</t>
    <rPh sb="0" eb="2">
      <t>シュツダイ</t>
    </rPh>
    <rPh sb="2" eb="4">
      <t>ナイヨウ</t>
    </rPh>
    <phoneticPr fontId="1"/>
  </si>
  <si>
    <t>コイル</t>
    <phoneticPr fontId="1"/>
  </si>
  <si>
    <t>抵抗</t>
    <rPh sb="0" eb="2">
      <t>テイコウ</t>
    </rPh>
    <phoneticPr fontId="1"/>
  </si>
  <si>
    <t>数学基礎</t>
    <rPh sb="0" eb="2">
      <t>スウガク</t>
    </rPh>
    <rPh sb="2" eb="4">
      <t>キソ</t>
    </rPh>
    <phoneticPr fontId="1"/>
  </si>
  <si>
    <t>電子回路</t>
    <rPh sb="0" eb="4">
      <t>デンシカイロ</t>
    </rPh>
    <phoneticPr fontId="1"/>
  </si>
  <si>
    <t>HF帯</t>
    <rPh sb="2" eb="3">
      <t>タイ</t>
    </rPh>
    <phoneticPr fontId="1"/>
  </si>
  <si>
    <t>UHF/VHF帯</t>
    <rPh sb="7" eb="8">
      <t>タイ</t>
    </rPh>
    <phoneticPr fontId="1"/>
  </si>
  <si>
    <t>電気回路</t>
    <rPh sb="0" eb="2">
      <t>デンキ</t>
    </rPh>
    <rPh sb="2" eb="4">
      <t>カイロ</t>
    </rPh>
    <phoneticPr fontId="1"/>
  </si>
  <si>
    <t>直列共振回路の周波数特性</t>
    <phoneticPr fontId="1"/>
  </si>
  <si>
    <t>フォトトランジスタの特徴</t>
    <rPh sb="10" eb="12">
      <t>トクチョウ</t>
    </rPh>
    <phoneticPr fontId="1"/>
  </si>
  <si>
    <t>増幅回路の出力電圧計算</t>
    <rPh sb="0" eb="2">
      <t>ゾウフク</t>
    </rPh>
    <rPh sb="2" eb="4">
      <t>カイロ</t>
    </rPh>
    <rPh sb="5" eb="7">
      <t>シュツリョク</t>
    </rPh>
    <rPh sb="7" eb="9">
      <t>デンアツ</t>
    </rPh>
    <rPh sb="9" eb="11">
      <t>ケイサン</t>
    </rPh>
    <phoneticPr fontId="1"/>
  </si>
  <si>
    <t>フリップフロップ回路の動作</t>
    <rPh sb="8" eb="10">
      <t>カイロ</t>
    </rPh>
    <rPh sb="11" eb="13">
      <t>ドウサ</t>
    </rPh>
    <phoneticPr fontId="1"/>
  </si>
  <si>
    <t>スイッチ開閉による直流抵抗回路の電流変化と抵抗値計算</t>
    <phoneticPr fontId="1"/>
  </si>
  <si>
    <t>SSB送信機の局部発振周波数計算</t>
    <phoneticPr fontId="1"/>
  </si>
  <si>
    <t>FM受信機のスレッショルドレベルの特徴</t>
    <rPh sb="2" eb="5">
      <t>ジュシンキ</t>
    </rPh>
    <rPh sb="17" eb="19">
      <t>トクチョウ</t>
    </rPh>
    <phoneticPr fontId="1"/>
  </si>
  <si>
    <t>RTTY通信の動作原理</t>
    <rPh sb="4" eb="6">
      <t>ツウシン</t>
    </rPh>
    <rPh sb="7" eb="9">
      <t>ドウサ</t>
    </rPh>
    <rPh sb="9" eb="11">
      <t>ゲンリ</t>
    </rPh>
    <phoneticPr fontId="1"/>
  </si>
  <si>
    <t>シリコン太陽電池の特徴</t>
    <rPh sb="4" eb="6">
      <t>タイヨウ</t>
    </rPh>
    <rPh sb="6" eb="8">
      <t>デンチ</t>
    </rPh>
    <rPh sb="9" eb="11">
      <t>トクチョウ</t>
    </rPh>
    <phoneticPr fontId="1"/>
  </si>
  <si>
    <t>方形導波管の遮断周波数計算</t>
    <phoneticPr fontId="1"/>
  </si>
  <si>
    <t>PLL回路の構成と原理</t>
    <rPh sb="3" eb="5">
      <t>カイロ</t>
    </rPh>
    <rPh sb="6" eb="8">
      <t>コウセイ</t>
    </rPh>
    <rPh sb="9" eb="11">
      <t>ゲンリ</t>
    </rPh>
    <phoneticPr fontId="1"/>
  </si>
  <si>
    <t>整流回路の動作と特性</t>
    <rPh sb="0" eb="2">
      <t>セイリュウ</t>
    </rPh>
    <rPh sb="2" eb="4">
      <t>カイロ</t>
    </rPh>
    <rPh sb="5" eb="7">
      <t>ドウサ</t>
    </rPh>
    <rPh sb="8" eb="10">
      <t>トクセイ</t>
    </rPh>
    <phoneticPr fontId="1"/>
  </si>
  <si>
    <t>スプリアス発射・不要発射の強度測定</t>
    <rPh sb="5" eb="7">
      <t>ハッシャ</t>
    </rPh>
    <rPh sb="8" eb="10">
      <t>フヨウ</t>
    </rPh>
    <rPh sb="10" eb="12">
      <t>ハッシャ</t>
    </rPh>
    <rPh sb="13" eb="15">
      <t>キョウド</t>
    </rPh>
    <rPh sb="15" eb="17">
      <t>ソクテイ</t>
    </rPh>
    <phoneticPr fontId="1"/>
  </si>
  <si>
    <t>周波数カウンタの動作原理と測定誤差</t>
    <rPh sb="0" eb="3">
      <t>シュウハスウ</t>
    </rPh>
    <rPh sb="8" eb="10">
      <t>ドウサ</t>
    </rPh>
    <rPh sb="10" eb="12">
      <t>ゲンリ</t>
    </rPh>
    <rPh sb="13" eb="15">
      <t>ソクテイ</t>
    </rPh>
    <rPh sb="15" eb="17">
      <t>ゴサ</t>
    </rPh>
    <phoneticPr fontId="1"/>
  </si>
  <si>
    <t>空中線系における各種測定方法</t>
    <rPh sb="0" eb="3">
      <t>クウチュウセン</t>
    </rPh>
    <rPh sb="3" eb="4">
      <t>ケイ</t>
    </rPh>
    <rPh sb="8" eb="10">
      <t>カクシュ</t>
    </rPh>
    <rPh sb="10" eb="12">
      <t>ソクテイ</t>
    </rPh>
    <rPh sb="12" eb="14">
      <t>ホウホウ</t>
    </rPh>
    <phoneticPr fontId="1"/>
  </si>
  <si>
    <t>高調波発射防止用フィルタの使用方法</t>
    <rPh sb="0" eb="3">
      <t>コウチョウハ</t>
    </rPh>
    <rPh sb="3" eb="5">
      <t>ハッシャ</t>
    </rPh>
    <rPh sb="5" eb="8">
      <t>ボウシヨウ</t>
    </rPh>
    <rPh sb="13" eb="15">
      <t>シヨウ</t>
    </rPh>
    <rPh sb="15" eb="17">
      <t>ホウホウ</t>
    </rPh>
    <phoneticPr fontId="1"/>
  </si>
  <si>
    <t>令和8年5月</t>
    <rPh sb="0" eb="2">
      <t>レイワ</t>
    </rPh>
    <rPh sb="3" eb="4">
      <t>ネン</t>
    </rPh>
    <rPh sb="5" eb="6">
      <t>ガツ</t>
    </rPh>
    <phoneticPr fontId="1"/>
  </si>
  <si>
    <t>各種コンデンサの構造・用途・特性</t>
    <rPh sb="0" eb="2">
      <t>カクシュ</t>
    </rPh>
    <phoneticPr fontId="1"/>
  </si>
  <si>
    <t>A1</t>
    <phoneticPr fontId="1"/>
  </si>
  <si>
    <t>RC回路の皮相電力・有効電力・力率の計算</t>
    <rPh sb="2" eb="4">
      <t>カイロ</t>
    </rPh>
    <rPh sb="5" eb="7">
      <t>ヒソウ</t>
    </rPh>
    <rPh sb="7" eb="9">
      <t>デンリョク</t>
    </rPh>
    <rPh sb="10" eb="12">
      <t>ユウコウ</t>
    </rPh>
    <rPh sb="12" eb="14">
      <t>デンリョク</t>
    </rPh>
    <rPh sb="15" eb="17">
      <t>リキリツ</t>
    </rPh>
    <rPh sb="18" eb="20">
      <t>ケイサン</t>
    </rPh>
    <phoneticPr fontId="1"/>
  </si>
  <si>
    <t>A3</t>
    <phoneticPr fontId="1"/>
  </si>
  <si>
    <t>A4</t>
    <phoneticPr fontId="1"/>
  </si>
  <si>
    <t>フィルタ回路</t>
    <rPh sb="4" eb="6">
      <t>カイロ</t>
    </rPh>
    <phoneticPr fontId="1"/>
  </si>
  <si>
    <t>LCフィルタ回路の特性と遮断周波数</t>
    <phoneticPr fontId="1"/>
  </si>
  <si>
    <t>複数電源を含む直流回路の電流計算</t>
    <rPh sb="0" eb="2">
      <t>フクスウ</t>
    </rPh>
    <rPh sb="2" eb="4">
      <t>デンゲン</t>
    </rPh>
    <rPh sb="5" eb="6">
      <t>フク</t>
    </rPh>
    <rPh sb="7" eb="9">
      <t>チョクリュウ</t>
    </rPh>
    <rPh sb="9" eb="11">
      <t>カイロ</t>
    </rPh>
    <rPh sb="12" eb="14">
      <t>デンリュウ</t>
    </rPh>
    <rPh sb="14" eb="16">
      <t>ケイサン</t>
    </rPh>
    <phoneticPr fontId="1"/>
  </si>
  <si>
    <t>A5</t>
    <phoneticPr fontId="1"/>
  </si>
  <si>
    <t>増幅回路</t>
    <rPh sb="0" eb="4">
      <t>ゾウフクカイロ</t>
    </rPh>
    <phoneticPr fontId="1"/>
  </si>
  <si>
    <t>サイリスタの特徴</t>
    <rPh sb="6" eb="8">
      <t>トクチョウ</t>
    </rPh>
    <phoneticPr fontId="1"/>
  </si>
  <si>
    <t>A6</t>
    <phoneticPr fontId="1"/>
  </si>
  <si>
    <t>トランジスタの電圧電流特性表からのエミッタ接地電流増幅率の計算</t>
    <phoneticPr fontId="1"/>
  </si>
  <si>
    <t>A7</t>
    <phoneticPr fontId="1"/>
  </si>
  <si>
    <t>A8</t>
    <phoneticPr fontId="1"/>
  </si>
  <si>
    <t>論理回路の真理値表</t>
    <phoneticPr fontId="1"/>
  </si>
  <si>
    <t>A9</t>
    <phoneticPr fontId="1"/>
  </si>
  <si>
    <t>デジタル通信</t>
    <rPh sb="4" eb="6">
      <t>ツウシン</t>
    </rPh>
    <phoneticPr fontId="1"/>
  </si>
  <si>
    <t>PLL回路</t>
    <rPh sb="3" eb="5">
      <t>カイロ</t>
    </rPh>
    <phoneticPr fontId="1"/>
  </si>
  <si>
    <t>電力増幅器と整合器を含む構成での電力利得の計算</t>
    <phoneticPr fontId="1"/>
  </si>
  <si>
    <t>A11</t>
    <phoneticPr fontId="1"/>
  </si>
  <si>
    <t>高周波増幅部の同調回路における最低受信周波数とインダクタンスの計算</t>
    <phoneticPr fontId="1"/>
  </si>
  <si>
    <t>A13</t>
    <phoneticPr fontId="1"/>
  </si>
  <si>
    <t>スーパヘテロダイン受信機の影像周波数妨害の発生原理とその対策</t>
    <rPh sb="9" eb="12">
      <t>ジュシンキ</t>
    </rPh>
    <rPh sb="13" eb="15">
      <t>エイゾウ</t>
    </rPh>
    <rPh sb="15" eb="18">
      <t>シュウハスウ</t>
    </rPh>
    <rPh sb="18" eb="20">
      <t>ボウガイ</t>
    </rPh>
    <rPh sb="21" eb="25">
      <t>ハッセイゲンリ</t>
    </rPh>
    <rPh sb="28" eb="30">
      <t>タイサク</t>
    </rPh>
    <phoneticPr fontId="1"/>
  </si>
  <si>
    <t>スーパヘテロダイン受信機の影像周波数混信軽減対策</t>
    <phoneticPr fontId="1"/>
  </si>
  <si>
    <t>A14</t>
    <phoneticPr fontId="1"/>
  </si>
  <si>
    <t>電波障害対策</t>
    <rPh sb="0" eb="4">
      <t>デンパショウガイ</t>
    </rPh>
    <rPh sb="4" eb="6">
      <t>タイサク</t>
    </rPh>
    <phoneticPr fontId="1"/>
  </si>
  <si>
    <t>コモンモード電流による不要発射の発生原因とフェライトコアフィルタによる対策</t>
    <rPh sb="6" eb="8">
      <t>デンリュウ</t>
    </rPh>
    <rPh sb="11" eb="13">
      <t>フヨウ</t>
    </rPh>
    <rPh sb="13" eb="15">
      <t>ハッシャ</t>
    </rPh>
    <rPh sb="16" eb="18">
      <t>ハッセイ</t>
    </rPh>
    <rPh sb="18" eb="20">
      <t>ゲンイン</t>
    </rPh>
    <rPh sb="35" eb="37">
      <t>タイサク</t>
    </rPh>
    <phoneticPr fontId="1"/>
  </si>
  <si>
    <t>A15</t>
    <phoneticPr fontId="1"/>
  </si>
  <si>
    <t>ニッケル水素蓄電池の特徴</t>
    <rPh sb="4" eb="6">
      <t>スイソ</t>
    </rPh>
    <rPh sb="6" eb="9">
      <t>チクデンチ</t>
    </rPh>
    <rPh sb="10" eb="12">
      <t>トクチョウ</t>
    </rPh>
    <phoneticPr fontId="1"/>
  </si>
  <si>
    <t>A16</t>
    <phoneticPr fontId="1"/>
  </si>
  <si>
    <t>定電圧回路</t>
    <rPh sb="0" eb="5">
      <t>テイデンアツカイロ</t>
    </rPh>
    <phoneticPr fontId="1"/>
  </si>
  <si>
    <t>整流回路</t>
    <rPh sb="0" eb="4">
      <t>セイリュウカイロ</t>
    </rPh>
    <phoneticPr fontId="1"/>
  </si>
  <si>
    <t>電源共通</t>
    <rPh sb="0" eb="2">
      <t>デンゲン</t>
    </rPh>
    <rPh sb="2" eb="4">
      <t>キョウツウ</t>
    </rPh>
    <phoneticPr fontId="1"/>
  </si>
  <si>
    <t>A17</t>
    <phoneticPr fontId="1"/>
  </si>
  <si>
    <t>A19</t>
    <phoneticPr fontId="1"/>
  </si>
  <si>
    <t>A18</t>
    <phoneticPr fontId="1"/>
  </si>
  <si>
    <t>スイッチング電源回路の説明</t>
    <rPh sb="11" eb="13">
      <t>セツメイ</t>
    </rPh>
    <phoneticPr fontId="1"/>
  </si>
  <si>
    <t>定電圧回路の許容電流計算</t>
    <rPh sb="0" eb="3">
      <t>テイデンアツ</t>
    </rPh>
    <rPh sb="3" eb="5">
      <t>カイロ</t>
    </rPh>
    <rPh sb="6" eb="8">
      <t>キョヨウ</t>
    </rPh>
    <rPh sb="8" eb="10">
      <t>デンリュウ</t>
    </rPh>
    <rPh sb="10" eb="12">
      <t>ケイサン</t>
    </rPh>
    <phoneticPr fontId="1"/>
  </si>
  <si>
    <t>定電圧回路の動作原理と許容電流の計算</t>
    <rPh sb="0" eb="3">
      <t>テイデンアツ</t>
    </rPh>
    <rPh sb="3" eb="5">
      <t>カイロ</t>
    </rPh>
    <rPh sb="6" eb="8">
      <t>ドウサ</t>
    </rPh>
    <rPh sb="8" eb="10">
      <t>ゲンリ</t>
    </rPh>
    <rPh sb="11" eb="13">
      <t>キョヨウ</t>
    </rPh>
    <rPh sb="13" eb="15">
      <t>デンリュウ</t>
    </rPh>
    <rPh sb="16" eb="18">
      <t>ケイサン</t>
    </rPh>
    <phoneticPr fontId="1"/>
  </si>
  <si>
    <t>定電圧回路の動作原理</t>
    <rPh sb="0" eb="3">
      <t>テイデンアツ</t>
    </rPh>
    <rPh sb="3" eb="5">
      <t>カイロ</t>
    </rPh>
    <rPh sb="6" eb="8">
      <t>ドウサ</t>
    </rPh>
    <rPh sb="8" eb="10">
      <t>ゲンリ</t>
    </rPh>
    <phoneticPr fontId="1"/>
  </si>
  <si>
    <t>半波長ダイポールアンテナの特徴</t>
    <rPh sb="0" eb="3">
      <t>ハンハチョウ</t>
    </rPh>
    <rPh sb="13" eb="15">
      <t>トクチョウ</t>
    </rPh>
    <phoneticPr fontId="1"/>
  </si>
  <si>
    <t>ターンスタイルアンテナの特徴</t>
    <rPh sb="12" eb="14">
      <t>トクチョウ</t>
    </rPh>
    <phoneticPr fontId="1"/>
  </si>
  <si>
    <t>バランによる平衡不平衡変換回路の動作原理とトリファイラ巻きの特性</t>
    <phoneticPr fontId="1"/>
  </si>
  <si>
    <t>A20</t>
    <phoneticPr fontId="1"/>
  </si>
  <si>
    <t>山岳回折伝搬の電界強度とフェージング特性</t>
    <rPh sb="0" eb="2">
      <t>サンガク</t>
    </rPh>
    <rPh sb="2" eb="4">
      <t>カイセツ</t>
    </rPh>
    <rPh sb="4" eb="6">
      <t>デンパン</t>
    </rPh>
    <rPh sb="7" eb="9">
      <t>デンカイ</t>
    </rPh>
    <rPh sb="9" eb="11">
      <t>キョウド</t>
    </rPh>
    <rPh sb="18" eb="20">
      <t>トクセイ</t>
    </rPh>
    <phoneticPr fontId="1"/>
  </si>
  <si>
    <t>A22</t>
    <phoneticPr fontId="1"/>
  </si>
  <si>
    <t>マッチング</t>
    <phoneticPr fontId="1"/>
  </si>
  <si>
    <t>同軸ケーブル</t>
    <rPh sb="0" eb="2">
      <t>ドウジク</t>
    </rPh>
    <phoneticPr fontId="1"/>
  </si>
  <si>
    <t>半波長ダイポールと八木・宇田アンテナの給電電力比からの相対利得の計算</t>
    <phoneticPr fontId="1"/>
  </si>
  <si>
    <t>A21</t>
    <phoneticPr fontId="1"/>
  </si>
  <si>
    <t>A23</t>
    <phoneticPr fontId="1"/>
  </si>
  <si>
    <t>A24</t>
    <phoneticPr fontId="1"/>
  </si>
  <si>
    <t>減衰器通過後の電力計指示値からの送信機出力電力の計算</t>
    <phoneticPr fontId="1"/>
  </si>
  <si>
    <t>A25</t>
    <phoneticPr fontId="1"/>
  </si>
  <si>
    <t>エミッタホロワ増幅回路の説明</t>
    <rPh sb="12" eb="14">
      <t>セツメイ</t>
    </rPh>
    <phoneticPr fontId="1"/>
  </si>
  <si>
    <t>B2</t>
    <phoneticPr fontId="1"/>
  </si>
  <si>
    <t>整流形電流計の動作原理</t>
    <phoneticPr fontId="1"/>
  </si>
  <si>
    <t>B3</t>
    <phoneticPr fontId="1"/>
  </si>
  <si>
    <t>短波帯（HF）における電離層伝搬の特徴</t>
    <rPh sb="0" eb="3">
      <t>タンパタイ</t>
    </rPh>
    <rPh sb="11" eb="16">
      <t>デンリソウデンパン</t>
    </rPh>
    <rPh sb="17" eb="19">
      <t>トクチョウ</t>
    </rPh>
    <phoneticPr fontId="1"/>
  </si>
  <si>
    <t>測定</t>
    <rPh sb="0" eb="2">
      <t>ソクテイ</t>
    </rPh>
    <phoneticPr fontId="1"/>
  </si>
  <si>
    <t>コンデンサ直列接続時の最大印加電圧計算</t>
    <phoneticPr fontId="1"/>
  </si>
  <si>
    <t>炭素被膜固定抵抗器および金属皮膜抵抗器の特徴</t>
    <rPh sb="0" eb="6">
      <t>タンソヒマクコテイ</t>
    </rPh>
    <rPh sb="6" eb="9">
      <t>テイコウキ</t>
    </rPh>
    <rPh sb="12" eb="14">
      <t>キンゾク</t>
    </rPh>
    <rPh sb="14" eb="16">
      <t>ヒマク</t>
    </rPh>
    <rPh sb="16" eb="19">
      <t>テイコウキ</t>
    </rPh>
    <rPh sb="20" eb="22">
      <t>トクチョウ</t>
    </rPh>
    <phoneticPr fontId="1"/>
  </si>
  <si>
    <t>RC直列回路の過渡現象</t>
    <rPh sb="2" eb="6">
      <t>チョクレツカイロ</t>
    </rPh>
    <rPh sb="7" eb="11">
      <t>カトゲンショウ</t>
    </rPh>
    <phoneticPr fontId="1"/>
  </si>
  <si>
    <t>コイルを用いた雑音減衰回路の必要インダクタンス計算</t>
    <rPh sb="4" eb="5">
      <t>モチ</t>
    </rPh>
    <rPh sb="7" eb="9">
      <t>ザツオン</t>
    </rPh>
    <rPh sb="9" eb="11">
      <t>ゲンスイ</t>
    </rPh>
    <rPh sb="11" eb="13">
      <t>カイロ</t>
    </rPh>
    <rPh sb="14" eb="16">
      <t>ヒツヨウ</t>
    </rPh>
    <rPh sb="23" eb="25">
      <t>ケイサン</t>
    </rPh>
    <phoneticPr fontId="1"/>
  </si>
  <si>
    <t>サーミスタの特徴</t>
    <rPh sb="6" eb="8">
      <t>トクチョウ</t>
    </rPh>
    <phoneticPr fontId="1"/>
  </si>
  <si>
    <t>同軸避雷器のサージ防護デバイスの動作原理</t>
    <rPh sb="0" eb="2">
      <t>ドウジク</t>
    </rPh>
    <rPh sb="2" eb="5">
      <t>ヒライキ</t>
    </rPh>
    <rPh sb="9" eb="11">
      <t>ボウゴ</t>
    </rPh>
    <rPh sb="16" eb="18">
      <t>ドウサ</t>
    </rPh>
    <rPh sb="18" eb="20">
      <t>ゲンリ</t>
    </rPh>
    <phoneticPr fontId="1"/>
  </si>
  <si>
    <t>移相形CR発振回路の発振周波数計算</t>
    <rPh sb="0" eb="2">
      <t>イソウ</t>
    </rPh>
    <rPh sb="2" eb="3">
      <t>カタチ</t>
    </rPh>
    <rPh sb="5" eb="7">
      <t>ハッシン</t>
    </rPh>
    <rPh sb="7" eb="9">
      <t>カイロ</t>
    </rPh>
    <rPh sb="10" eb="12">
      <t>ハッシン</t>
    </rPh>
    <rPh sb="12" eb="15">
      <t>シュウハスウ</t>
    </rPh>
    <rPh sb="15" eb="17">
      <t>ケイサン</t>
    </rPh>
    <phoneticPr fontId="1"/>
  </si>
  <si>
    <t>FPGA・DSPを用いたデジタル信号処理回路の特徴</t>
    <rPh sb="9" eb="10">
      <t>モチ</t>
    </rPh>
    <rPh sb="16" eb="18">
      <t>シンゴウ</t>
    </rPh>
    <rPh sb="18" eb="20">
      <t>ショリ</t>
    </rPh>
    <rPh sb="20" eb="22">
      <t>カイロ</t>
    </rPh>
    <rPh sb="23" eb="25">
      <t>トクチョウ</t>
    </rPh>
    <phoneticPr fontId="1"/>
  </si>
  <si>
    <t>直接周波数変調方式を用いたFM送信機の構成</t>
    <phoneticPr fontId="1"/>
  </si>
  <si>
    <t>スプリアス発射の発生原因と対策</t>
    <rPh sb="5" eb="7">
      <t>ハッシャ</t>
    </rPh>
    <rPh sb="8" eb="10">
      <t>ハッセイ</t>
    </rPh>
    <rPh sb="10" eb="12">
      <t>ゲンイン</t>
    </rPh>
    <rPh sb="13" eb="15">
      <t>タイサク</t>
    </rPh>
    <phoneticPr fontId="1"/>
  </si>
  <si>
    <t>DSB・SSB・FM受信機の復調回路の特徴と動作原理</t>
    <rPh sb="10" eb="13">
      <t>ジュシンキ</t>
    </rPh>
    <rPh sb="14" eb="16">
      <t>フクチョウ</t>
    </rPh>
    <rPh sb="16" eb="18">
      <t>カイロ</t>
    </rPh>
    <rPh sb="19" eb="21">
      <t>トクチョウ</t>
    </rPh>
    <rPh sb="22" eb="24">
      <t>ドウサ</t>
    </rPh>
    <rPh sb="24" eb="26">
      <t>ゲンリ</t>
    </rPh>
    <phoneticPr fontId="1"/>
  </si>
  <si>
    <t>八木アンテナのスタック構成における利得計算</t>
    <rPh sb="0" eb="2">
      <t>ヤギ</t>
    </rPh>
    <rPh sb="11" eb="13">
      <t>コウセイ</t>
    </rPh>
    <rPh sb="17" eb="19">
      <t>リトク</t>
    </rPh>
    <rPh sb="19" eb="21">
      <t>ケイサン</t>
    </rPh>
    <phoneticPr fontId="1"/>
  </si>
  <si>
    <t>U形バランのうかい線路長・位相遅れ・インピーダンス変換比の特性</t>
    <rPh sb="1" eb="2">
      <t>ガタ</t>
    </rPh>
    <rPh sb="9" eb="11">
      <t>センロ</t>
    </rPh>
    <rPh sb="11" eb="12">
      <t>チョウ</t>
    </rPh>
    <rPh sb="13" eb="15">
      <t>イソウ</t>
    </rPh>
    <rPh sb="15" eb="16">
      <t>オク</t>
    </rPh>
    <rPh sb="25" eb="27">
      <t>ヘンカン</t>
    </rPh>
    <rPh sb="27" eb="28">
      <t>ヒ</t>
    </rPh>
    <rPh sb="29" eb="31">
      <t>トクセイ</t>
    </rPh>
    <phoneticPr fontId="1"/>
  </si>
  <si>
    <t>標準大気における見通し距離とアンテナ高さの関係計算</t>
    <rPh sb="0" eb="2">
      <t>ヒョウジュン</t>
    </rPh>
    <rPh sb="2" eb="4">
      <t>タイキ</t>
    </rPh>
    <rPh sb="8" eb="10">
      <t>ミトオ</t>
    </rPh>
    <rPh sb="11" eb="13">
      <t>キョリ</t>
    </rPh>
    <rPh sb="18" eb="19">
      <t>タカ</t>
    </rPh>
    <rPh sb="21" eb="23">
      <t>カンケイ</t>
    </rPh>
    <rPh sb="23" eb="25">
      <t>ケイサン</t>
    </rPh>
    <phoneticPr fontId="1"/>
  </si>
  <si>
    <t>オシロスコープによるリサジュー図と位相差の対応関係</t>
    <rPh sb="21" eb="23">
      <t>タイオウ</t>
    </rPh>
    <rPh sb="23" eb="25">
      <t>カンケイ</t>
    </rPh>
    <phoneticPr fontId="1"/>
  </si>
  <si>
    <t>オペアンプを用いた増幅回路の特徴</t>
    <rPh sb="6" eb="7">
      <t>モチ</t>
    </rPh>
    <rPh sb="9" eb="13">
      <t>ゾウフクカイロ</t>
    </rPh>
    <rPh sb="14" eb="16">
      <t>トクチョウ</t>
    </rPh>
    <phoneticPr fontId="1"/>
  </si>
  <si>
    <t>同軸ケーブルについての説明</t>
    <rPh sb="0" eb="2">
      <t>ドウジク</t>
    </rPh>
    <rPh sb="11" eb="13">
      <t>セツメイ</t>
    </rPh>
    <phoneticPr fontId="1"/>
  </si>
  <si>
    <t>π形抵抗減衰器の減衰量計算</t>
    <phoneticPr fontId="1"/>
  </si>
  <si>
    <t>ダーリントン接続における電流増幅の特性</t>
    <rPh sb="6" eb="8">
      <t>セツゾク</t>
    </rPh>
    <rPh sb="12" eb="16">
      <t>デンリ</t>
    </rPh>
    <rPh sb="17" eb="19">
      <t>トクセイ</t>
    </rPh>
    <phoneticPr fontId="1"/>
  </si>
  <si>
    <t>FET等価回路の電圧増幅度の計算</t>
    <rPh sb="3" eb="5">
      <t>トウカ</t>
    </rPh>
    <rPh sb="5" eb="7">
      <t>カイロ</t>
    </rPh>
    <rPh sb="8" eb="10">
      <t>デンアツ</t>
    </rPh>
    <rPh sb="10" eb="12">
      <t>ゾウフク</t>
    </rPh>
    <rPh sb="12" eb="13">
      <t>ド</t>
    </rPh>
    <rPh sb="14" eb="16">
      <t>ケイサン</t>
    </rPh>
    <phoneticPr fontId="1"/>
  </si>
  <si>
    <t>増幅回路の雑音指数についての説明</t>
    <rPh sb="0" eb="2">
      <t>ゾウフク</t>
    </rPh>
    <rPh sb="2" eb="4">
      <t>カイロ</t>
    </rPh>
    <rPh sb="5" eb="7">
      <t>ザツオン</t>
    </rPh>
    <rPh sb="7" eb="9">
      <t>シスウ</t>
    </rPh>
    <rPh sb="14" eb="16">
      <t>セツメイ</t>
    </rPh>
    <phoneticPr fontId="1"/>
  </si>
  <si>
    <t>ダイオードを直列接続したときの電圧・電流特性</t>
    <rPh sb="6" eb="8">
      <t>チョクレツ</t>
    </rPh>
    <rPh sb="8" eb="10">
      <t>セツゾク</t>
    </rPh>
    <rPh sb="15" eb="17">
      <t>デンアツ</t>
    </rPh>
    <rPh sb="18" eb="20">
      <t>デンリュウ</t>
    </rPh>
    <rPh sb="20" eb="22">
      <t>トクセイ</t>
    </rPh>
    <phoneticPr fontId="1"/>
  </si>
  <si>
    <t>可変容量ダイオードを用いた直接FM変調回路の動作</t>
    <rPh sb="0" eb="2">
      <t>カヘン</t>
    </rPh>
    <rPh sb="2" eb="4">
      <t>ヨウリョウ</t>
    </rPh>
    <rPh sb="10" eb="11">
      <t>モチ</t>
    </rPh>
    <rPh sb="13" eb="15">
      <t>チョクセツ</t>
    </rPh>
    <rPh sb="17" eb="19">
      <t>ヘンチョウ</t>
    </rPh>
    <rPh sb="19" eb="21">
      <t>カイロ</t>
    </rPh>
    <rPh sb="22" eb="24">
      <t>ドウサ</t>
    </rPh>
    <phoneticPr fontId="1"/>
  </si>
  <si>
    <t>PLL回路の用いた周波数シンセサイザ発振器における出力周波数計算</t>
    <rPh sb="3" eb="5">
      <t>カイロ</t>
    </rPh>
    <phoneticPr fontId="1"/>
  </si>
  <si>
    <t>SDR受信機における直交ミクサ（乗算器）によるSSB復調の原理</t>
    <rPh sb="3" eb="6">
      <t>ジュシンキ</t>
    </rPh>
    <rPh sb="10" eb="12">
      <t>チョッコウ</t>
    </rPh>
    <rPh sb="16" eb="18">
      <t>ジョウザン</t>
    </rPh>
    <rPh sb="18" eb="19">
      <t>キ</t>
    </rPh>
    <rPh sb="26" eb="28">
      <t>フクチョウ</t>
    </rPh>
    <rPh sb="29" eb="31">
      <t>ゲンリ</t>
    </rPh>
    <phoneticPr fontId="1"/>
  </si>
  <si>
    <t>FM受信機の動作および回路等の特徴</t>
    <rPh sb="2" eb="5">
      <t>ジュシンキ</t>
    </rPh>
    <rPh sb="6" eb="8">
      <t>ドウサ</t>
    </rPh>
    <rPh sb="11" eb="13">
      <t>カイロ</t>
    </rPh>
    <rPh sb="13" eb="14">
      <t>トウ</t>
    </rPh>
    <rPh sb="15" eb="17">
      <t>トクチョウ</t>
    </rPh>
    <phoneticPr fontId="1"/>
  </si>
  <si>
    <t>FT8・FT4・JT65等の弱信号デジタル通信方式の特徴</t>
    <rPh sb="12" eb="13">
      <t>トウ</t>
    </rPh>
    <rPh sb="14" eb="15">
      <t>ジャク</t>
    </rPh>
    <rPh sb="15" eb="17">
      <t>シンゴウ</t>
    </rPh>
    <rPh sb="21" eb="23">
      <t>ツウシン</t>
    </rPh>
    <rPh sb="23" eb="25">
      <t>ホウシキ</t>
    </rPh>
    <rPh sb="26" eb="28">
      <t>トクチョウ</t>
    </rPh>
    <phoneticPr fontId="1"/>
  </si>
  <si>
    <t>リプル含有率の計算</t>
    <rPh sb="3" eb="6">
      <t>ガンユウリツ</t>
    </rPh>
    <rPh sb="7" eb="9">
      <t>ケイサン</t>
    </rPh>
    <phoneticPr fontId="1"/>
  </si>
  <si>
    <t>ヘンテナの構造および特徴</t>
    <rPh sb="5" eb="7">
      <t>コウゾウ</t>
    </rPh>
    <rPh sb="10" eb="12">
      <t>トクチョウ</t>
    </rPh>
    <phoneticPr fontId="1"/>
  </si>
  <si>
    <t>同軸トラップの長さと基本波・第2高調波に対するインピーダンス特性</t>
    <rPh sb="0" eb="2">
      <t>ドウジク</t>
    </rPh>
    <rPh sb="7" eb="8">
      <t>ナガ</t>
    </rPh>
    <rPh sb="10" eb="12">
      <t>キホン</t>
    </rPh>
    <rPh sb="12" eb="13">
      <t>ハ</t>
    </rPh>
    <rPh sb="14" eb="15">
      <t>ダイ</t>
    </rPh>
    <rPh sb="16" eb="19">
      <t>コウチョウハ</t>
    </rPh>
    <rPh sb="20" eb="21">
      <t>タイ</t>
    </rPh>
    <rPh sb="30" eb="32">
      <t>トクセイ</t>
    </rPh>
    <phoneticPr fontId="1"/>
  </si>
  <si>
    <t>大地反射を考慮した受信電界強度、送受信点間距離の計算</t>
    <rPh sb="0" eb="2">
      <t>ダイチ</t>
    </rPh>
    <rPh sb="2" eb="4">
      <t>ハンシャ</t>
    </rPh>
    <rPh sb="5" eb="7">
      <t>コウリョ</t>
    </rPh>
    <rPh sb="9" eb="11">
      <t>ジュシン</t>
    </rPh>
    <rPh sb="11" eb="13">
      <t>デンカイ</t>
    </rPh>
    <rPh sb="13" eb="15">
      <t>キョウド</t>
    </rPh>
    <rPh sb="16" eb="20">
      <t>ソウジュシンテン</t>
    </rPh>
    <rPh sb="20" eb="23">
      <t>カンキョリ</t>
    </rPh>
    <rPh sb="24" eb="26">
      <t>ケイサン</t>
    </rPh>
    <phoneticPr fontId="1"/>
  </si>
  <si>
    <t>デリンジャー現象や磁気嵐の発生メカニズムと電離層減衰特性</t>
    <rPh sb="6" eb="8">
      <t>ゲンショウ</t>
    </rPh>
    <rPh sb="9" eb="12">
      <t>ジキアラシ</t>
    </rPh>
    <rPh sb="13" eb="15">
      <t>ハッセイ</t>
    </rPh>
    <rPh sb="21" eb="23">
      <t>デンリ</t>
    </rPh>
    <rPh sb="23" eb="24">
      <t>ソウ</t>
    </rPh>
    <rPh sb="24" eb="26">
      <t>ゲンスイ</t>
    </rPh>
    <rPh sb="26" eb="28">
      <t>トクセイ</t>
    </rPh>
    <phoneticPr fontId="1"/>
  </si>
  <si>
    <t>スペクトルアナライザで観測したAM波の変調度の計算</t>
    <rPh sb="11" eb="13">
      <t>カンソク</t>
    </rPh>
    <rPh sb="17" eb="18">
      <t>ハ</t>
    </rPh>
    <rPh sb="19" eb="21">
      <t>ヘンチョウ</t>
    </rPh>
    <rPh sb="21" eb="22">
      <t>ド</t>
    </rPh>
    <rPh sb="23" eb="25">
      <t>ケイサン</t>
    </rPh>
    <phoneticPr fontId="1"/>
  </si>
  <si>
    <t>ベクトルネットワークアナライザの基本機能</t>
    <rPh sb="16" eb="18">
      <t>キホン</t>
    </rPh>
    <rPh sb="18" eb="20">
      <t>キノウ</t>
    </rPh>
    <phoneticPr fontId="1"/>
  </si>
  <si>
    <t>大気の屈折率とラジオダクトの説明</t>
    <rPh sb="0" eb="2">
      <t>タイキ</t>
    </rPh>
    <rPh sb="3" eb="6">
      <t>クッセツリツ</t>
    </rPh>
    <rPh sb="14" eb="16">
      <t>セツメイ</t>
    </rPh>
    <phoneticPr fontId="1"/>
  </si>
  <si>
    <t>令和6年8月</t>
    <rPh sb="0" eb="2">
      <t>レイワ</t>
    </rPh>
    <rPh sb="3" eb="4">
      <t>ネン</t>
    </rPh>
    <rPh sb="5" eb="6">
      <t>ガツ</t>
    </rPh>
    <phoneticPr fontId="1"/>
  </si>
  <si>
    <t>A3</t>
    <phoneticPr fontId="1"/>
  </si>
  <si>
    <t>直線導体の特性を変えたときの抵抗値の計算</t>
    <rPh sb="0" eb="4">
      <t>チョクセンドウタイ</t>
    </rPh>
    <rPh sb="5" eb="7">
      <t>トクセイ</t>
    </rPh>
    <rPh sb="8" eb="9">
      <t>カ</t>
    </rPh>
    <rPh sb="14" eb="16">
      <t>テイコウ</t>
    </rPh>
    <rPh sb="16" eb="17">
      <t>チ</t>
    </rPh>
    <rPh sb="18" eb="20">
      <t>ケイサン</t>
    </rPh>
    <phoneticPr fontId="1"/>
  </si>
  <si>
    <t>A1</t>
    <phoneticPr fontId="1"/>
  </si>
  <si>
    <t>A5</t>
    <phoneticPr fontId="1"/>
  </si>
  <si>
    <t>LCR発振回路の尖鋭度Qの計算</t>
    <rPh sb="3" eb="7">
      <t>ハッシンカイロ</t>
    </rPh>
    <rPh sb="8" eb="11">
      <t>センエイド</t>
    </rPh>
    <rPh sb="13" eb="15">
      <t>ケイサン</t>
    </rPh>
    <phoneticPr fontId="1"/>
  </si>
  <si>
    <t>A6</t>
    <phoneticPr fontId="1"/>
  </si>
  <si>
    <t>正弦波交流における位相差の時間計算</t>
    <rPh sb="0" eb="3">
      <t>セイゲンハ</t>
    </rPh>
    <rPh sb="3" eb="5">
      <t>コウリュウ</t>
    </rPh>
    <rPh sb="9" eb="12">
      <t>イソウサ</t>
    </rPh>
    <rPh sb="13" eb="15">
      <t>ジカン</t>
    </rPh>
    <rPh sb="15" eb="17">
      <t>ケイサン</t>
    </rPh>
    <phoneticPr fontId="1"/>
  </si>
  <si>
    <t>A4</t>
    <phoneticPr fontId="1"/>
  </si>
  <si>
    <t>セラミック発振子の特徴</t>
    <rPh sb="5" eb="7">
      <t>ハッシン</t>
    </rPh>
    <rPh sb="7" eb="8">
      <t>コ</t>
    </rPh>
    <rPh sb="9" eb="11">
      <t>トクチョウ</t>
    </rPh>
    <phoneticPr fontId="1"/>
  </si>
  <si>
    <t>A7</t>
    <phoneticPr fontId="1"/>
  </si>
  <si>
    <t>受動部品</t>
    <rPh sb="0" eb="4">
      <t>ジュドウブヒン</t>
    </rPh>
    <phoneticPr fontId="1"/>
  </si>
  <si>
    <t>ダイオード</t>
    <phoneticPr fontId="1"/>
  </si>
  <si>
    <t>トランジスタ</t>
    <phoneticPr fontId="1"/>
  </si>
  <si>
    <t>その他部品</t>
    <rPh sb="2" eb="3">
      <t>タ</t>
    </rPh>
    <rPh sb="3" eb="5">
      <t>ブヒン</t>
    </rPh>
    <phoneticPr fontId="1"/>
  </si>
  <si>
    <t>A8</t>
    <phoneticPr fontId="1"/>
  </si>
  <si>
    <t>半導体増幅</t>
    <rPh sb="0" eb="3">
      <t>ハンドウタイ</t>
    </rPh>
    <rPh sb="3" eb="5">
      <t>ゾウフク</t>
    </rPh>
    <phoneticPr fontId="1"/>
  </si>
  <si>
    <t>増幅回路一般</t>
    <rPh sb="0" eb="4">
      <t>ゾウフクカイロ</t>
    </rPh>
    <rPh sb="4" eb="6">
      <t>イッパン</t>
    </rPh>
    <phoneticPr fontId="1"/>
  </si>
  <si>
    <t>A9</t>
    <phoneticPr fontId="1"/>
  </si>
  <si>
    <t>A10</t>
    <phoneticPr fontId="1"/>
  </si>
  <si>
    <t>ダイオードとトランジスタを用いた論理回路の等価構成</t>
    <rPh sb="13" eb="14">
      <t>モチ</t>
    </rPh>
    <rPh sb="21" eb="25">
      <t>トウカコウセイ</t>
    </rPh>
    <phoneticPr fontId="1"/>
  </si>
  <si>
    <t>デジタル通信システムの原理的な構成</t>
    <rPh sb="4" eb="6">
      <t>ツウシン</t>
    </rPh>
    <rPh sb="11" eb="14">
      <t>ゲンリテキ</t>
    </rPh>
    <rPh sb="15" eb="17">
      <t>コウセイ</t>
    </rPh>
    <phoneticPr fontId="1"/>
  </si>
  <si>
    <t>A13</t>
    <phoneticPr fontId="1"/>
  </si>
  <si>
    <t>出題回数</t>
    <rPh sb="0" eb="4">
      <t>シュツダイカイスウ</t>
    </rPh>
    <phoneticPr fontId="1"/>
  </si>
  <si>
    <t>相互変調妨害の発生周波数計算</t>
    <phoneticPr fontId="1"/>
  </si>
  <si>
    <t>SDR受信機の概要</t>
    <rPh sb="3" eb="6">
      <t>ジュシンキ</t>
    </rPh>
    <rPh sb="7" eb="9">
      <t>ガイヨウ</t>
    </rPh>
    <phoneticPr fontId="1"/>
  </si>
  <si>
    <t>A14</t>
    <phoneticPr fontId="1"/>
  </si>
  <si>
    <t>スイッチングレギュレータについての説明</t>
    <rPh sb="17" eb="19">
      <t>セツメイ</t>
    </rPh>
    <phoneticPr fontId="1"/>
  </si>
  <si>
    <t>A18</t>
    <phoneticPr fontId="1"/>
  </si>
  <si>
    <t>A16</t>
    <phoneticPr fontId="1"/>
  </si>
  <si>
    <t>A15</t>
    <phoneticPr fontId="1"/>
  </si>
  <si>
    <t>リチウムイオン蓄電池の特徴</t>
    <rPh sb="7" eb="10">
      <t>チクデンチ</t>
    </rPh>
    <rPh sb="11" eb="13">
      <t>トクチョウ</t>
    </rPh>
    <phoneticPr fontId="1"/>
  </si>
  <si>
    <t>A17</t>
    <phoneticPr fontId="1"/>
  </si>
  <si>
    <t>アンテナ理論</t>
    <rPh sb="4" eb="6">
      <t>リロン</t>
    </rPh>
    <phoneticPr fontId="1"/>
  </si>
  <si>
    <t>半波長ダイポールアンテナの受信電圧から電界強度の計算</t>
    <phoneticPr fontId="1"/>
  </si>
  <si>
    <t>コリニアアレーアンテナの特徴</t>
    <rPh sb="12" eb="14">
      <t>トクチョウ</t>
    </rPh>
    <phoneticPr fontId="1"/>
  </si>
  <si>
    <t>A20</t>
    <phoneticPr fontId="1"/>
  </si>
  <si>
    <t>A21</t>
    <phoneticPr fontId="1"/>
  </si>
  <si>
    <t>MUF・臨界周波数・入射角・跳躍距離に関する計算</t>
    <rPh sb="19" eb="20">
      <t>カン</t>
    </rPh>
    <phoneticPr fontId="1"/>
  </si>
  <si>
    <t>VHF/UHF帯における電波伝搬の特徴</t>
    <rPh sb="7" eb="8">
      <t>タイ</t>
    </rPh>
    <rPh sb="12" eb="16">
      <t>デンパデンパン</t>
    </rPh>
    <rPh sb="17" eb="19">
      <t>トクチョウ</t>
    </rPh>
    <phoneticPr fontId="1"/>
  </si>
  <si>
    <t>A22</t>
    <phoneticPr fontId="1"/>
  </si>
  <si>
    <t>電波の強度に対する安全基準</t>
    <rPh sb="0" eb="2">
      <t>デンパ</t>
    </rPh>
    <rPh sb="3" eb="5">
      <t>キョウド</t>
    </rPh>
    <rPh sb="6" eb="7">
      <t>タイ</t>
    </rPh>
    <rPh sb="9" eb="11">
      <t>アンゼン</t>
    </rPh>
    <rPh sb="11" eb="13">
      <t>キジュン</t>
    </rPh>
    <phoneticPr fontId="1"/>
  </si>
  <si>
    <t>A23</t>
    <phoneticPr fontId="1"/>
  </si>
  <si>
    <t>アンテナ構造</t>
    <rPh sb="4" eb="6">
      <t>コウゾウ</t>
    </rPh>
    <phoneticPr fontId="1"/>
  </si>
  <si>
    <t>A24</t>
    <phoneticPr fontId="1"/>
  </si>
  <si>
    <t>A25</t>
    <phoneticPr fontId="1"/>
  </si>
  <si>
    <t>B1</t>
    <phoneticPr fontId="1"/>
  </si>
  <si>
    <t>B2</t>
    <phoneticPr fontId="1"/>
  </si>
  <si>
    <t>フェージングの軽減方法</t>
    <rPh sb="7" eb="11">
      <t>ケイゲンホウホウ</t>
    </rPh>
    <phoneticPr fontId="1"/>
  </si>
  <si>
    <t>B3</t>
    <phoneticPr fontId="1"/>
  </si>
  <si>
    <t>GPSについての説明</t>
    <rPh sb="8" eb="10">
      <t>セツメイ</t>
    </rPh>
    <phoneticPr fontId="1"/>
  </si>
  <si>
    <t>B4</t>
    <phoneticPr fontId="1"/>
  </si>
  <si>
    <t>B5</t>
    <phoneticPr fontId="1"/>
  </si>
  <si>
    <t>令和6年4月</t>
    <rPh sb="0" eb="2">
      <t>レイワ</t>
    </rPh>
    <rPh sb="3" eb="4">
      <t>ネン</t>
    </rPh>
    <rPh sb="5" eb="6">
      <t>ガツ</t>
    </rPh>
    <phoneticPr fontId="1"/>
  </si>
  <si>
    <t>真空中の点電荷による合成電界の強さの計算</t>
    <phoneticPr fontId="1"/>
  </si>
  <si>
    <t>A1</t>
    <phoneticPr fontId="1"/>
  </si>
  <si>
    <t>A2</t>
    <phoneticPr fontId="1"/>
  </si>
  <si>
    <t>A4</t>
    <phoneticPr fontId="1"/>
  </si>
  <si>
    <t>A3</t>
    <phoneticPr fontId="1"/>
  </si>
  <si>
    <t>A5</t>
    <phoneticPr fontId="1"/>
  </si>
  <si>
    <t>減衰器</t>
    <rPh sb="0" eb="2">
      <t>ゲンスイ</t>
    </rPh>
    <rPh sb="2" eb="3">
      <t>キ</t>
    </rPh>
    <phoneticPr fontId="1"/>
  </si>
  <si>
    <t>トランスを用いたインピーダンス整合</t>
    <rPh sb="5" eb="6">
      <t>モチ</t>
    </rPh>
    <phoneticPr fontId="1"/>
  </si>
  <si>
    <t>A6</t>
    <phoneticPr fontId="1"/>
  </si>
  <si>
    <t>各種トランジスタの図記号と特徴</t>
    <rPh sb="0" eb="2">
      <t>カクシュ</t>
    </rPh>
    <phoneticPr fontId="1"/>
  </si>
  <si>
    <t>A7</t>
    <phoneticPr fontId="1"/>
  </si>
  <si>
    <t>負帰還増幅回路の帰還率・増幅率の計算</t>
    <rPh sb="0" eb="3">
      <t>フキカン</t>
    </rPh>
    <rPh sb="3" eb="5">
      <t>ゾウフク</t>
    </rPh>
    <rPh sb="5" eb="7">
      <t>カイロ</t>
    </rPh>
    <rPh sb="8" eb="11">
      <t>キカンリツ</t>
    </rPh>
    <rPh sb="12" eb="15">
      <t>ゾウフクリツ</t>
    </rPh>
    <rPh sb="16" eb="18">
      <t>ケイサン</t>
    </rPh>
    <phoneticPr fontId="1"/>
  </si>
  <si>
    <t>A8</t>
    <phoneticPr fontId="1"/>
  </si>
  <si>
    <t>A9</t>
    <phoneticPr fontId="1"/>
  </si>
  <si>
    <t>A10</t>
    <phoneticPr fontId="1"/>
  </si>
  <si>
    <t>FM送信機の最高周波数、周波数偏移と占有周波数帯幅の説明</t>
    <rPh sb="2" eb="5">
      <t>ソウシンキ</t>
    </rPh>
    <rPh sb="6" eb="8">
      <t>サイコウ</t>
    </rPh>
    <rPh sb="8" eb="11">
      <t>シュウハスウ</t>
    </rPh>
    <rPh sb="12" eb="15">
      <t>シュウハスウ</t>
    </rPh>
    <rPh sb="15" eb="17">
      <t>ヘンイ</t>
    </rPh>
    <rPh sb="18" eb="23">
      <t>センユウシュウハスウ</t>
    </rPh>
    <rPh sb="23" eb="24">
      <t>タイ</t>
    </rPh>
    <rPh sb="24" eb="25">
      <t>ハバ</t>
    </rPh>
    <rPh sb="26" eb="28">
      <t>セツメイ</t>
    </rPh>
    <phoneticPr fontId="1"/>
  </si>
  <si>
    <t>FM送信機の最高周波数、周波数偏移と占有周波数帯幅の計算</t>
    <rPh sb="2" eb="5">
      <t>ソウシンキ</t>
    </rPh>
    <rPh sb="6" eb="8">
      <t>サイコウ</t>
    </rPh>
    <rPh sb="8" eb="11">
      <t>シュウハスウ</t>
    </rPh>
    <rPh sb="12" eb="15">
      <t>シュウハスウ</t>
    </rPh>
    <rPh sb="15" eb="17">
      <t>ヘンイ</t>
    </rPh>
    <rPh sb="18" eb="23">
      <t>センユウシュウハスウ</t>
    </rPh>
    <rPh sb="23" eb="24">
      <t>タイ</t>
    </rPh>
    <rPh sb="24" eb="25">
      <t>ハバ</t>
    </rPh>
    <rPh sb="26" eb="28">
      <t>ケイサン</t>
    </rPh>
    <phoneticPr fontId="1"/>
  </si>
  <si>
    <t>DSB通信方式と比較したSSB通信方式の一般的な特徴</t>
    <rPh sb="3" eb="5">
      <t>ツウシン</t>
    </rPh>
    <rPh sb="5" eb="7">
      <t>ホウシキ</t>
    </rPh>
    <rPh sb="8" eb="10">
      <t>ヒカク</t>
    </rPh>
    <rPh sb="15" eb="17">
      <t>ツウシン</t>
    </rPh>
    <rPh sb="17" eb="19">
      <t>ホウシキ</t>
    </rPh>
    <rPh sb="20" eb="23">
      <t>イッパンテキ</t>
    </rPh>
    <rPh sb="24" eb="26">
      <t>トクチョウ</t>
    </rPh>
    <phoneticPr fontId="1"/>
  </si>
  <si>
    <t>A11</t>
    <phoneticPr fontId="1"/>
  </si>
  <si>
    <t>移相法によるSSB（J3E）側波帯の発生原理</t>
    <rPh sb="0" eb="2">
      <t>イソウ</t>
    </rPh>
    <rPh sb="2" eb="3">
      <t>ホウ</t>
    </rPh>
    <rPh sb="14" eb="15">
      <t>ガワ</t>
    </rPh>
    <rPh sb="15" eb="17">
      <t>ハタイ</t>
    </rPh>
    <rPh sb="18" eb="20">
      <t>ハッセイ</t>
    </rPh>
    <rPh sb="20" eb="22">
      <t>ゲンリ</t>
    </rPh>
    <phoneticPr fontId="1"/>
  </si>
  <si>
    <t>A13</t>
    <phoneticPr fontId="1"/>
  </si>
  <si>
    <t>感度抑圧についての説明</t>
    <rPh sb="0" eb="4">
      <t>カンドヨクアツ</t>
    </rPh>
    <rPh sb="9" eb="11">
      <t>セツメイ</t>
    </rPh>
    <phoneticPr fontId="1"/>
  </si>
  <si>
    <t>ノイズブランカについての説明</t>
    <rPh sb="12" eb="14">
      <t>セツメイ</t>
    </rPh>
    <phoneticPr fontId="1"/>
  </si>
  <si>
    <t>A14</t>
    <phoneticPr fontId="1"/>
  </si>
  <si>
    <t>宇宙無線通信</t>
    <rPh sb="0" eb="2">
      <t>ウチュウ</t>
    </rPh>
    <rPh sb="2" eb="4">
      <t>ムセン</t>
    </rPh>
    <rPh sb="4" eb="6">
      <t>ツウシン</t>
    </rPh>
    <phoneticPr fontId="1"/>
  </si>
  <si>
    <t>A15</t>
    <phoneticPr fontId="1"/>
  </si>
  <si>
    <t>月面反射（EME）通信についての説明</t>
    <rPh sb="0" eb="2">
      <t>ゲツメン</t>
    </rPh>
    <rPh sb="2" eb="4">
      <t>ハンシャ</t>
    </rPh>
    <rPh sb="9" eb="11">
      <t>ツウシン</t>
    </rPh>
    <rPh sb="16" eb="18">
      <t>セツメイ</t>
    </rPh>
    <phoneticPr fontId="1"/>
  </si>
  <si>
    <t>A16</t>
    <phoneticPr fontId="1"/>
  </si>
  <si>
    <t>全波整流回路における入力電圧の実効値計算</t>
    <rPh sb="0" eb="2">
      <t>ゼンパ</t>
    </rPh>
    <rPh sb="2" eb="6">
      <t>セイリュウカイロ</t>
    </rPh>
    <rPh sb="10" eb="12">
      <t>ニュウリョク</t>
    </rPh>
    <rPh sb="12" eb="14">
      <t>デンアツ</t>
    </rPh>
    <rPh sb="15" eb="18">
      <t>ジッコウチ</t>
    </rPh>
    <rPh sb="17" eb="18">
      <t>チ</t>
    </rPh>
    <rPh sb="18" eb="20">
      <t>ケイサン</t>
    </rPh>
    <phoneticPr fontId="1"/>
  </si>
  <si>
    <t>A17</t>
    <phoneticPr fontId="1"/>
  </si>
  <si>
    <t>倍電圧整流回路における出力電圧の実効値計算</t>
    <rPh sb="0" eb="3">
      <t>バイデンアツ</t>
    </rPh>
    <rPh sb="3" eb="7">
      <t>セイリュウカイロ</t>
    </rPh>
    <rPh sb="11" eb="13">
      <t>シュツリョク</t>
    </rPh>
    <rPh sb="13" eb="15">
      <t>デンアツ</t>
    </rPh>
    <rPh sb="16" eb="19">
      <t>ジッコウチ</t>
    </rPh>
    <rPh sb="18" eb="19">
      <t>チ</t>
    </rPh>
    <rPh sb="19" eb="21">
      <t>ケイサン</t>
    </rPh>
    <phoneticPr fontId="1"/>
  </si>
  <si>
    <t>チョッパ型DC-DCコンバータの動作原理</t>
    <rPh sb="4" eb="5">
      <t>ガタ</t>
    </rPh>
    <rPh sb="16" eb="20">
      <t>ドウサゲンリ</t>
    </rPh>
    <phoneticPr fontId="1"/>
  </si>
  <si>
    <t>A18</t>
    <phoneticPr fontId="1"/>
  </si>
  <si>
    <t>A19</t>
    <phoneticPr fontId="1"/>
  </si>
  <si>
    <t>垂直ループアンテナの特徴</t>
    <rPh sb="0" eb="2">
      <t>スイチョク</t>
    </rPh>
    <rPh sb="10" eb="12">
      <t>トクチョウ</t>
    </rPh>
    <phoneticPr fontId="1"/>
  </si>
  <si>
    <t>A20</t>
    <phoneticPr fontId="1"/>
  </si>
  <si>
    <t>シュペルトップ（バズーカバラン）の構造と動作原理</t>
    <phoneticPr fontId="1"/>
  </si>
  <si>
    <t>A21</t>
    <phoneticPr fontId="1"/>
  </si>
  <si>
    <t>A22</t>
    <phoneticPr fontId="1"/>
  </si>
  <si>
    <t>短波帯（HF）におけるフェージングの特徴</t>
    <rPh sb="0" eb="3">
      <t>タンパタイ</t>
    </rPh>
    <rPh sb="18" eb="20">
      <t>トクチョウ</t>
    </rPh>
    <phoneticPr fontId="1"/>
  </si>
  <si>
    <t>A23</t>
    <phoneticPr fontId="1"/>
  </si>
  <si>
    <t>スミスチャートを用いたインピーダンスマッチング</t>
    <rPh sb="8" eb="9">
      <t>モチ</t>
    </rPh>
    <phoneticPr fontId="1"/>
  </si>
  <si>
    <t>A24</t>
    <phoneticPr fontId="1"/>
  </si>
  <si>
    <t>出題回数※直近除く</t>
    <rPh sb="0" eb="4">
      <t>シュツダイカイスウ</t>
    </rPh>
    <rPh sb="5" eb="7">
      <t>チョッキン</t>
    </rPh>
    <rPh sb="7" eb="8">
      <t>ノゾ</t>
    </rPh>
    <phoneticPr fontId="1"/>
  </si>
  <si>
    <t>スペクトルアナライザの一般的な特徴</t>
    <rPh sb="11" eb="14">
      <t>イッパンテキ</t>
    </rPh>
    <rPh sb="15" eb="17">
      <t>トクチョウ</t>
    </rPh>
    <phoneticPr fontId="1"/>
  </si>
  <si>
    <t>A25</t>
    <phoneticPr fontId="1"/>
  </si>
  <si>
    <t>銅線の電気抵抗についての説明</t>
    <rPh sb="0" eb="2">
      <t>ドウセン</t>
    </rPh>
    <rPh sb="3" eb="5">
      <t>デンキ</t>
    </rPh>
    <rPh sb="5" eb="7">
      <t>テイコウ</t>
    </rPh>
    <rPh sb="12" eb="14">
      <t>セツメイ</t>
    </rPh>
    <phoneticPr fontId="1"/>
  </si>
  <si>
    <t>フォトダイオードの特徴</t>
    <rPh sb="9" eb="11">
      <t>トクチョウ</t>
    </rPh>
    <phoneticPr fontId="1"/>
  </si>
  <si>
    <t>スーパヘテロダイン受信機の選択度を向上させる方法</t>
    <rPh sb="9" eb="12">
      <t>ジュシンキ</t>
    </rPh>
    <rPh sb="13" eb="16">
      <t>センタクド</t>
    </rPh>
    <rPh sb="17" eb="19">
      <t>コウジョウ</t>
    </rPh>
    <rPh sb="22" eb="24">
      <t>ホウホウ</t>
    </rPh>
    <phoneticPr fontId="1"/>
  </si>
  <si>
    <t>CM電力計による電力の測定</t>
    <rPh sb="2" eb="5">
      <t>デンリョクケイ</t>
    </rPh>
    <rPh sb="8" eb="10">
      <t>デンリョク</t>
    </rPh>
    <rPh sb="11" eb="13">
      <t>ソクテイ</t>
    </rPh>
    <phoneticPr fontId="1"/>
  </si>
  <si>
    <t>コンデンサ・電荷</t>
    <rPh sb="6" eb="8">
      <t>デンカ</t>
    </rPh>
    <phoneticPr fontId="1"/>
  </si>
  <si>
    <t>令和5年12月</t>
    <rPh sb="0" eb="2">
      <t>レイワ</t>
    </rPh>
    <rPh sb="3" eb="4">
      <t>ネン</t>
    </rPh>
    <rPh sb="6" eb="7">
      <t>ガツ</t>
    </rPh>
    <phoneticPr fontId="1"/>
  </si>
  <si>
    <t>令和5年8月</t>
    <rPh sb="0" eb="2">
      <t>レイワ</t>
    </rPh>
    <rPh sb="3" eb="4">
      <t>ネン</t>
    </rPh>
    <rPh sb="5" eb="6">
      <t>ガツ</t>
    </rPh>
    <phoneticPr fontId="1"/>
  </si>
  <si>
    <t>令和5年4月</t>
    <rPh sb="0" eb="2">
      <t>レイワ</t>
    </rPh>
    <rPh sb="3" eb="4">
      <t>ネン</t>
    </rPh>
    <rPh sb="5" eb="6">
      <t>ガツ</t>
    </rPh>
    <phoneticPr fontId="1"/>
  </si>
  <si>
    <t>A1</t>
    <phoneticPr fontId="1"/>
  </si>
  <si>
    <t>A2</t>
    <phoneticPr fontId="1"/>
  </si>
  <si>
    <t>A3</t>
    <phoneticPr fontId="1"/>
  </si>
  <si>
    <t>A4</t>
    <phoneticPr fontId="1"/>
  </si>
  <si>
    <t>A5</t>
    <phoneticPr fontId="1"/>
  </si>
  <si>
    <t>水晶発振子の発振周波数の変動原因と対策</t>
    <rPh sb="0" eb="2">
      <t>スイショウ</t>
    </rPh>
    <rPh sb="2" eb="5">
      <t>ハッシンシ</t>
    </rPh>
    <rPh sb="6" eb="8">
      <t>ハッシン</t>
    </rPh>
    <rPh sb="8" eb="11">
      <t>シュウハスウ</t>
    </rPh>
    <rPh sb="12" eb="14">
      <t>ヘンドウ</t>
    </rPh>
    <rPh sb="14" eb="16">
      <t>ゲンイン</t>
    </rPh>
    <rPh sb="17" eb="19">
      <t>タイサク</t>
    </rPh>
    <phoneticPr fontId="1"/>
  </si>
  <si>
    <t>A7</t>
    <phoneticPr fontId="1"/>
  </si>
  <si>
    <t>A8</t>
    <phoneticPr fontId="1"/>
  </si>
  <si>
    <t>A9</t>
    <phoneticPr fontId="1"/>
  </si>
  <si>
    <t>A10</t>
    <phoneticPr fontId="1"/>
  </si>
  <si>
    <t>A11</t>
    <phoneticPr fontId="1"/>
  </si>
  <si>
    <t>A12</t>
    <phoneticPr fontId="1"/>
  </si>
  <si>
    <t>相互変調による混信の説明</t>
    <rPh sb="7" eb="9">
      <t>コンシン</t>
    </rPh>
    <rPh sb="10" eb="12">
      <t>セツメイ</t>
    </rPh>
    <phoneticPr fontId="1"/>
  </si>
  <si>
    <t>A13</t>
    <phoneticPr fontId="1"/>
  </si>
  <si>
    <t>等価雑音温度についての説明</t>
    <rPh sb="0" eb="6">
      <t>トウカザツオンオンド</t>
    </rPh>
    <rPh sb="11" eb="13">
      <t>セツメイ</t>
    </rPh>
    <phoneticPr fontId="1"/>
  </si>
  <si>
    <t>A14</t>
    <phoneticPr fontId="1"/>
  </si>
  <si>
    <t>A15</t>
    <phoneticPr fontId="1"/>
  </si>
  <si>
    <t>A17</t>
    <phoneticPr fontId="1"/>
  </si>
  <si>
    <t>単巻変圧器の巻線電流計算</t>
    <rPh sb="10" eb="12">
      <t>ケイサン</t>
    </rPh>
    <phoneticPr fontId="1"/>
  </si>
  <si>
    <t>A16</t>
    <phoneticPr fontId="1"/>
  </si>
  <si>
    <t>鉛蓄電池の特徴</t>
    <rPh sb="0" eb="4">
      <t>ナマリチクデンチ</t>
    </rPh>
    <rPh sb="5" eb="7">
      <t>トクチョウ</t>
    </rPh>
    <phoneticPr fontId="1"/>
  </si>
  <si>
    <t>A18</t>
    <phoneticPr fontId="1"/>
  </si>
  <si>
    <t>A20</t>
    <phoneticPr fontId="1"/>
  </si>
  <si>
    <t>変調度100%時の同軸ケーブル電圧最大値の計算</t>
    <phoneticPr fontId="1"/>
  </si>
  <si>
    <t>A19</t>
    <phoneticPr fontId="1"/>
  </si>
  <si>
    <t>A21</t>
    <phoneticPr fontId="1"/>
  </si>
  <si>
    <t>同軸ケーブル変成器を用いたスタックアンテナのインピーダンス整合の計算</t>
    <phoneticPr fontId="1"/>
  </si>
  <si>
    <t>A22</t>
    <phoneticPr fontId="1"/>
  </si>
  <si>
    <t>A23</t>
    <phoneticPr fontId="1"/>
  </si>
  <si>
    <t>A25</t>
    <phoneticPr fontId="1"/>
  </si>
  <si>
    <t>SSB送信機の空中線電力の測定方法</t>
    <rPh sb="3" eb="6">
      <t>ソウシンキ</t>
    </rPh>
    <rPh sb="7" eb="12">
      <t>クウチュウセンデンリョク</t>
    </rPh>
    <rPh sb="13" eb="17">
      <t>ソクテイホウホウ</t>
    </rPh>
    <phoneticPr fontId="1"/>
  </si>
  <si>
    <t>A24</t>
    <phoneticPr fontId="1"/>
  </si>
  <si>
    <t>B5</t>
    <phoneticPr fontId="1"/>
  </si>
  <si>
    <t>B4</t>
    <phoneticPr fontId="1"/>
  </si>
  <si>
    <t>電波雑音の種類と特徴</t>
    <phoneticPr fontId="1"/>
  </si>
  <si>
    <t>電波雑音</t>
    <rPh sb="0" eb="4">
      <t>デンパザツオン</t>
    </rPh>
    <phoneticPr fontId="1"/>
  </si>
  <si>
    <t>B3</t>
    <phoneticPr fontId="1"/>
  </si>
  <si>
    <t>B2</t>
    <phoneticPr fontId="1"/>
  </si>
  <si>
    <t>電気磁気に関する単位</t>
    <rPh sb="0" eb="4">
      <t>デンキジキ</t>
    </rPh>
    <rPh sb="5" eb="6">
      <t>カン</t>
    </rPh>
    <rPh sb="8" eb="10">
      <t>タンイ</t>
    </rPh>
    <phoneticPr fontId="1"/>
  </si>
  <si>
    <t>B1</t>
    <phoneticPr fontId="1"/>
  </si>
  <si>
    <t>対地間静電容量が異なる2導体球を接続したときの電荷移動量の計算</t>
    <phoneticPr fontId="1"/>
  </si>
  <si>
    <t>A1</t>
    <phoneticPr fontId="1"/>
  </si>
  <si>
    <t>磁性材料のヒステリシスループについての説明</t>
    <rPh sb="0" eb="4">
      <t>ジセイザイリョウ</t>
    </rPh>
    <rPh sb="19" eb="21">
      <t>セツメイ</t>
    </rPh>
    <phoneticPr fontId="1"/>
  </si>
  <si>
    <t>A2</t>
    <phoneticPr fontId="1"/>
  </si>
  <si>
    <t>A3</t>
    <phoneticPr fontId="1"/>
  </si>
  <si>
    <t>A4</t>
    <phoneticPr fontId="1"/>
  </si>
  <si>
    <t>A5</t>
    <phoneticPr fontId="1"/>
  </si>
  <si>
    <t>A6</t>
    <phoneticPr fontId="1"/>
  </si>
  <si>
    <t>A7</t>
    <phoneticPr fontId="1"/>
  </si>
  <si>
    <t>電界効果トランジスタ（FET）の特徴</t>
    <rPh sb="0" eb="4">
      <t>デンカイコウカ</t>
    </rPh>
    <rPh sb="16" eb="18">
      <t>トクチョウ</t>
    </rPh>
    <phoneticPr fontId="1"/>
  </si>
  <si>
    <t>セラミックフィルタについての説明</t>
    <rPh sb="14" eb="16">
      <t>セツメイ</t>
    </rPh>
    <phoneticPr fontId="1"/>
  </si>
  <si>
    <t>A8</t>
    <phoneticPr fontId="1"/>
  </si>
  <si>
    <t>微分回路と積分回路の構成と波形</t>
    <rPh sb="0" eb="4">
      <t>ビブンカイロ</t>
    </rPh>
    <rPh sb="5" eb="9">
      <t>セキブンカイロ</t>
    </rPh>
    <rPh sb="10" eb="12">
      <t>コウセイ</t>
    </rPh>
    <rPh sb="13" eb="15">
      <t>ハケイ</t>
    </rPh>
    <phoneticPr fontId="1"/>
  </si>
  <si>
    <t>A9</t>
    <phoneticPr fontId="1"/>
  </si>
  <si>
    <t>A10</t>
    <phoneticPr fontId="1"/>
  </si>
  <si>
    <t>A11</t>
    <phoneticPr fontId="1"/>
  </si>
  <si>
    <t>SSB送信機の終段電力増幅回路の構成</t>
    <rPh sb="3" eb="6">
      <t>ソウシンキ</t>
    </rPh>
    <rPh sb="7" eb="9">
      <t>シュウダン</t>
    </rPh>
    <rPh sb="9" eb="11">
      <t>デンリョク</t>
    </rPh>
    <rPh sb="11" eb="13">
      <t>ゾウフク</t>
    </rPh>
    <rPh sb="13" eb="15">
      <t>カイロ</t>
    </rPh>
    <rPh sb="16" eb="18">
      <t>コウセイ</t>
    </rPh>
    <phoneticPr fontId="1"/>
  </si>
  <si>
    <t>A12</t>
    <phoneticPr fontId="1"/>
  </si>
  <si>
    <t>A13</t>
    <phoneticPr fontId="1"/>
  </si>
  <si>
    <t>A14</t>
    <phoneticPr fontId="1"/>
  </si>
  <si>
    <t>A15</t>
    <phoneticPr fontId="1"/>
  </si>
  <si>
    <t>A16</t>
    <phoneticPr fontId="1"/>
  </si>
  <si>
    <t>直列制御形定電圧回路のコレクタ損失最大値の計算</t>
    <phoneticPr fontId="1"/>
  </si>
  <si>
    <t>A17</t>
    <phoneticPr fontId="1"/>
  </si>
  <si>
    <t>A18</t>
    <phoneticPr fontId="1"/>
  </si>
  <si>
    <t>A19</t>
    <phoneticPr fontId="1"/>
  </si>
  <si>
    <t>A20</t>
    <phoneticPr fontId="1"/>
  </si>
  <si>
    <t>二線式折返し半波長ダイポールアンテナの特徴</t>
    <rPh sb="0" eb="3">
      <t>ニセンシキ</t>
    </rPh>
    <rPh sb="3" eb="5">
      <t>オリカエ</t>
    </rPh>
    <rPh sb="6" eb="9">
      <t>ハンハチョウ</t>
    </rPh>
    <rPh sb="19" eb="21">
      <t>トクチョウ</t>
    </rPh>
    <phoneticPr fontId="1"/>
  </si>
  <si>
    <t>A21</t>
    <phoneticPr fontId="1"/>
  </si>
  <si>
    <t>A22</t>
    <phoneticPr fontId="1"/>
  </si>
  <si>
    <t>A23</t>
    <phoneticPr fontId="1"/>
  </si>
  <si>
    <t>A25</t>
    <phoneticPr fontId="1"/>
  </si>
  <si>
    <t>電圧計の内部抵抗による端子電圧の誤差計算</t>
    <phoneticPr fontId="1"/>
  </si>
  <si>
    <t>A24</t>
    <phoneticPr fontId="1"/>
  </si>
  <si>
    <t>B1</t>
    <phoneticPr fontId="1"/>
  </si>
  <si>
    <t>B2</t>
    <phoneticPr fontId="1"/>
  </si>
  <si>
    <t>B3</t>
    <phoneticPr fontId="1"/>
  </si>
  <si>
    <t>スポラジックE層（Es）の特徴</t>
    <rPh sb="7" eb="8">
      <t>ソウ</t>
    </rPh>
    <rPh sb="13" eb="15">
      <t>トクチョウ</t>
    </rPh>
    <phoneticPr fontId="1"/>
  </si>
  <si>
    <t>B4</t>
    <phoneticPr fontId="1"/>
  </si>
  <si>
    <t>デジタルマルチメーターの構成</t>
    <rPh sb="12" eb="14">
      <t>コウセイ</t>
    </rPh>
    <phoneticPr fontId="1"/>
  </si>
  <si>
    <t>B5</t>
    <phoneticPr fontId="1"/>
  </si>
  <si>
    <t>A1</t>
    <phoneticPr fontId="1"/>
  </si>
  <si>
    <t>A2</t>
    <phoneticPr fontId="1"/>
  </si>
  <si>
    <t>A3</t>
    <phoneticPr fontId="1"/>
  </si>
  <si>
    <t>π形抵抗減衰器の入力電圧計算</t>
    <rPh sb="8" eb="10">
      <t>ニュウリョク</t>
    </rPh>
    <rPh sb="10" eb="12">
      <t>デンアツ</t>
    </rPh>
    <phoneticPr fontId="1"/>
  </si>
  <si>
    <t>A4</t>
    <phoneticPr fontId="1"/>
  </si>
  <si>
    <t>A5</t>
    <phoneticPr fontId="1"/>
  </si>
  <si>
    <t>A6</t>
    <phoneticPr fontId="1"/>
  </si>
  <si>
    <t>A8</t>
    <phoneticPr fontId="1"/>
  </si>
  <si>
    <t>A7</t>
    <phoneticPr fontId="1"/>
  </si>
  <si>
    <t>A9</t>
    <phoneticPr fontId="1"/>
  </si>
  <si>
    <t>A10</t>
    <phoneticPr fontId="1"/>
  </si>
  <si>
    <t>A11</t>
    <phoneticPr fontId="1"/>
  </si>
  <si>
    <t>送信機の終段に用いるπ型結合回路の調整方法</t>
    <rPh sb="0" eb="3">
      <t>ソウシンキ</t>
    </rPh>
    <rPh sb="4" eb="6">
      <t>シュウダン</t>
    </rPh>
    <rPh sb="7" eb="8">
      <t>モチ</t>
    </rPh>
    <rPh sb="11" eb="12">
      <t>ガタ</t>
    </rPh>
    <rPh sb="12" eb="14">
      <t>ケツゴウ</t>
    </rPh>
    <rPh sb="14" eb="16">
      <t>カイロ</t>
    </rPh>
    <rPh sb="17" eb="19">
      <t>チョウセイ</t>
    </rPh>
    <rPh sb="19" eb="21">
      <t>ホウホウ</t>
    </rPh>
    <phoneticPr fontId="1"/>
  </si>
  <si>
    <t>A12</t>
    <phoneticPr fontId="1"/>
  </si>
  <si>
    <t>A13</t>
    <phoneticPr fontId="1"/>
  </si>
  <si>
    <t>A14</t>
    <phoneticPr fontId="1"/>
  </si>
  <si>
    <t>A15</t>
    <phoneticPr fontId="1"/>
  </si>
  <si>
    <t>A16</t>
    <phoneticPr fontId="1"/>
  </si>
  <si>
    <t>A18</t>
    <phoneticPr fontId="1"/>
  </si>
  <si>
    <t>全波整流回路におけるダイオードの印加電圧の最大値計算</t>
    <rPh sb="0" eb="2">
      <t>ゼンパ</t>
    </rPh>
    <rPh sb="2" eb="6">
      <t>セイリュウカイロ</t>
    </rPh>
    <rPh sb="16" eb="20">
      <t>インカデンアツ</t>
    </rPh>
    <rPh sb="21" eb="24">
      <t>サイダイチ</t>
    </rPh>
    <rPh sb="24" eb="26">
      <t>ケイサン</t>
    </rPh>
    <phoneticPr fontId="1"/>
  </si>
  <si>
    <t>A17</t>
    <phoneticPr fontId="1"/>
  </si>
  <si>
    <t>A20</t>
    <phoneticPr fontId="1"/>
  </si>
  <si>
    <t>A21</t>
    <phoneticPr fontId="1"/>
  </si>
  <si>
    <t>A22</t>
    <phoneticPr fontId="1"/>
  </si>
  <si>
    <t>A25</t>
    <phoneticPr fontId="1"/>
  </si>
  <si>
    <t>オシロスコープによる2つの正弦波を与えたときの位相差</t>
    <rPh sb="13" eb="16">
      <t>セイゲンハ</t>
    </rPh>
    <rPh sb="17" eb="18">
      <t>アタ</t>
    </rPh>
    <rPh sb="23" eb="26">
      <t>イソウサ</t>
    </rPh>
    <phoneticPr fontId="1"/>
  </si>
  <si>
    <t>A24</t>
    <phoneticPr fontId="1"/>
  </si>
  <si>
    <t>直流電圧計を用いた測定回路の最大電圧</t>
    <rPh sb="0" eb="2">
      <t>チョクリュウ</t>
    </rPh>
    <rPh sb="2" eb="5">
      <t>デンアツケイ</t>
    </rPh>
    <rPh sb="6" eb="7">
      <t>モチ</t>
    </rPh>
    <rPh sb="9" eb="11">
      <t>ソクテイ</t>
    </rPh>
    <rPh sb="11" eb="13">
      <t>カイロ</t>
    </rPh>
    <rPh sb="14" eb="16">
      <t>サイダイ</t>
    </rPh>
    <rPh sb="16" eb="18">
      <t>デンアツ</t>
    </rPh>
    <phoneticPr fontId="1"/>
  </si>
  <si>
    <t>A23</t>
    <phoneticPr fontId="1"/>
  </si>
  <si>
    <t>B1</t>
    <phoneticPr fontId="1"/>
  </si>
  <si>
    <t>B2</t>
    <phoneticPr fontId="1"/>
  </si>
  <si>
    <t>B3</t>
    <phoneticPr fontId="1"/>
  </si>
  <si>
    <t>アースの概要と接地アンテナの特徴</t>
    <rPh sb="4" eb="6">
      <t>ガイヨウ</t>
    </rPh>
    <rPh sb="7" eb="9">
      <t>セッチ</t>
    </rPh>
    <rPh sb="14" eb="16">
      <t>トクチョウ</t>
    </rPh>
    <phoneticPr fontId="1"/>
  </si>
  <si>
    <t>B4</t>
    <phoneticPr fontId="1"/>
  </si>
  <si>
    <t>B5</t>
    <phoneticPr fontId="1"/>
  </si>
  <si>
    <t>DSB・SSB受信機</t>
    <rPh sb="7" eb="10">
      <t>ジュシンキ</t>
    </rPh>
    <phoneticPr fontId="1"/>
  </si>
  <si>
    <t>DSB受信機における混変調についての説明</t>
    <rPh sb="3" eb="6">
      <t>ジュシンキ</t>
    </rPh>
    <rPh sb="10" eb="11">
      <t>コン</t>
    </rPh>
    <rPh sb="11" eb="13">
      <t>ヘンチョウ</t>
    </rPh>
    <rPh sb="18" eb="20">
      <t>セツメイ</t>
    </rPh>
    <phoneticPr fontId="1"/>
  </si>
  <si>
    <t>DSB受信機におけるAGCについての説明</t>
    <rPh sb="3" eb="6">
      <t>ジュシンキ</t>
    </rPh>
    <rPh sb="18" eb="20">
      <t>セツメイ</t>
    </rPh>
    <phoneticPr fontId="1"/>
  </si>
  <si>
    <t>DSB受信機におけるAGC回路の構成</t>
    <rPh sb="3" eb="6">
      <t>ジュシンキ</t>
    </rPh>
    <rPh sb="13" eb="15">
      <t>カイロ</t>
    </rPh>
    <rPh sb="16" eb="18">
      <t>コウセイ</t>
    </rPh>
    <phoneticPr fontId="1"/>
  </si>
  <si>
    <t>DSB受信機における二乗検波器の説明</t>
    <rPh sb="3" eb="6">
      <t>ジュシンキ</t>
    </rPh>
    <rPh sb="10" eb="12">
      <t>ニジョウ</t>
    </rPh>
    <rPh sb="12" eb="15">
      <t>ケンパキ</t>
    </rPh>
    <rPh sb="16" eb="18">
      <t>セツメイ</t>
    </rPh>
    <phoneticPr fontId="1"/>
  </si>
  <si>
    <t>DSB・SSB送信機</t>
    <rPh sb="7" eb="10">
      <t>ソウシンキ</t>
    </rPh>
    <phoneticPr fontId="1"/>
  </si>
  <si>
    <t>出題回数</t>
    <rPh sb="0" eb="2">
      <t>シュツダイ</t>
    </rPh>
    <rPh sb="2" eb="4">
      <t>カイスウ</t>
    </rPh>
    <phoneticPr fontId="1"/>
  </si>
  <si>
    <t>平衡状態の交流ブリッジ回路における抵抗と静電容量の計算式</t>
    <rPh sb="0" eb="4">
      <t>ヘイコウジョウタイ</t>
    </rPh>
    <phoneticPr fontId="1"/>
  </si>
  <si>
    <t>その他電気回路</t>
    <rPh sb="2" eb="3">
      <t>タ</t>
    </rPh>
    <rPh sb="3" eb="7">
      <t>デンキカイロ</t>
    </rPh>
    <phoneticPr fontId="1"/>
  </si>
  <si>
    <t>令和4年12月</t>
    <rPh sb="0" eb="2">
      <t>レイワ</t>
    </rPh>
    <rPh sb="3" eb="4">
      <t>ネン</t>
    </rPh>
    <rPh sb="6" eb="7">
      <t>ガツ</t>
    </rPh>
    <phoneticPr fontId="1"/>
  </si>
  <si>
    <t>令和4年8月</t>
    <rPh sb="0" eb="2">
      <t>レイワ</t>
    </rPh>
    <rPh sb="3" eb="4">
      <t>ネン</t>
    </rPh>
    <rPh sb="5" eb="6">
      <t>ガツ</t>
    </rPh>
    <phoneticPr fontId="1"/>
  </si>
  <si>
    <t>令和4年4月</t>
    <rPh sb="0" eb="2">
      <t>レイワ</t>
    </rPh>
    <rPh sb="3" eb="4">
      <t>ネン</t>
    </rPh>
    <rPh sb="5" eb="6">
      <t>ガツ</t>
    </rPh>
    <phoneticPr fontId="1"/>
  </si>
  <si>
    <t>ガンダイオードの特徴</t>
    <rPh sb="8" eb="10">
      <t>トクチョウ</t>
    </rPh>
    <phoneticPr fontId="1"/>
  </si>
  <si>
    <t>A6</t>
    <phoneticPr fontId="1"/>
  </si>
  <si>
    <t>A7</t>
    <phoneticPr fontId="1"/>
  </si>
  <si>
    <t>A5</t>
    <phoneticPr fontId="1"/>
  </si>
  <si>
    <t>A8</t>
    <phoneticPr fontId="1"/>
  </si>
  <si>
    <t>水晶発振子の等価回路と電気的特性</t>
    <rPh sb="0" eb="2">
      <t>スイショウ</t>
    </rPh>
    <rPh sb="2" eb="4">
      <t>ハッシン</t>
    </rPh>
    <rPh sb="4" eb="5">
      <t>コ</t>
    </rPh>
    <rPh sb="6" eb="10">
      <t>トウカカイロ</t>
    </rPh>
    <rPh sb="11" eb="16">
      <t>デンキテキトクセイ</t>
    </rPh>
    <phoneticPr fontId="1"/>
  </si>
  <si>
    <t>水晶発振器（VCXO、TCXO、OCXO）の特徴</t>
    <rPh sb="0" eb="2">
      <t>スイショウ</t>
    </rPh>
    <rPh sb="2" eb="5">
      <t>ハッシンキ</t>
    </rPh>
    <rPh sb="22" eb="24">
      <t>トクチョウ</t>
    </rPh>
    <phoneticPr fontId="1"/>
  </si>
  <si>
    <t>円形コイルの中心における合成磁界の強さの計算</t>
    <phoneticPr fontId="1"/>
  </si>
  <si>
    <t>A2</t>
    <phoneticPr fontId="1"/>
  </si>
  <si>
    <t>A4</t>
    <phoneticPr fontId="1"/>
  </si>
  <si>
    <t>A3</t>
    <phoneticPr fontId="1"/>
  </si>
  <si>
    <t>複雑な複数抵抗接続による合成抵抗の計算</t>
    <rPh sb="0" eb="2">
      <t>フクザツ</t>
    </rPh>
    <phoneticPr fontId="1"/>
  </si>
  <si>
    <t>発振回路</t>
    <rPh sb="0" eb="4">
      <t>ハッシンカイロ</t>
    </rPh>
    <phoneticPr fontId="1"/>
  </si>
  <si>
    <t>位相差を考慮した電気回路の計算</t>
    <rPh sb="0" eb="3">
      <t>イソウサ</t>
    </rPh>
    <rPh sb="4" eb="6">
      <t>コウリョ</t>
    </rPh>
    <rPh sb="8" eb="12">
      <t>デンキカイロ</t>
    </rPh>
    <rPh sb="13" eb="15">
      <t>ケイサン</t>
    </rPh>
    <phoneticPr fontId="1"/>
  </si>
  <si>
    <t>ハートレー発振回路における周波数変動の計算</t>
    <rPh sb="5" eb="9">
      <t>ハッシンカイロ</t>
    </rPh>
    <rPh sb="13" eb="16">
      <t>シュウハスウ</t>
    </rPh>
    <rPh sb="16" eb="18">
      <t>ヘンドウ</t>
    </rPh>
    <rPh sb="19" eb="21">
      <t>ケイサン</t>
    </rPh>
    <phoneticPr fontId="1"/>
  </si>
  <si>
    <t>A9</t>
    <phoneticPr fontId="1"/>
  </si>
  <si>
    <t>A10</t>
    <phoneticPr fontId="1"/>
  </si>
  <si>
    <t>A11</t>
    <phoneticPr fontId="1"/>
  </si>
  <si>
    <t>A13</t>
    <phoneticPr fontId="1"/>
  </si>
  <si>
    <t>FM受信機の振幅制限器（リミタ）の説明</t>
    <rPh sb="2" eb="5">
      <t>ジュシンキ</t>
    </rPh>
    <rPh sb="6" eb="11">
      <t>シンプクセイゲンキ</t>
    </rPh>
    <rPh sb="17" eb="19">
      <t>セツメイ</t>
    </rPh>
    <phoneticPr fontId="1"/>
  </si>
  <si>
    <t>受信障害</t>
    <rPh sb="0" eb="4">
      <t>ジュシンショウガイ</t>
    </rPh>
    <phoneticPr fontId="1"/>
  </si>
  <si>
    <t>受信機の構造</t>
    <rPh sb="0" eb="3">
      <t>ジュシンキ</t>
    </rPh>
    <rPh sb="4" eb="6">
      <t>コウゾウ</t>
    </rPh>
    <phoneticPr fontId="1"/>
  </si>
  <si>
    <t>受信機の高周波増幅回路に要求される条件</t>
    <rPh sb="0" eb="3">
      <t>ジュシンキ</t>
    </rPh>
    <rPh sb="4" eb="7">
      <t>コウシュウハ</t>
    </rPh>
    <rPh sb="7" eb="11">
      <t>ゾウフクカイロ</t>
    </rPh>
    <rPh sb="12" eb="14">
      <t>ヨウキュウ</t>
    </rPh>
    <rPh sb="17" eb="19">
      <t>ジョウケン</t>
    </rPh>
    <phoneticPr fontId="1"/>
  </si>
  <si>
    <t>A15</t>
    <phoneticPr fontId="1"/>
  </si>
  <si>
    <t>A16</t>
    <phoneticPr fontId="1"/>
  </si>
  <si>
    <t>A17</t>
    <phoneticPr fontId="1"/>
  </si>
  <si>
    <t>直列制御形定電圧回路の動作原理</t>
    <rPh sb="11" eb="15">
      <t>ドウサゲンリ</t>
    </rPh>
    <phoneticPr fontId="1"/>
  </si>
  <si>
    <t>連続不出題回数</t>
    <rPh sb="0" eb="2">
      <t>レンゾク</t>
    </rPh>
    <rPh sb="2" eb="3">
      <t>フ</t>
    </rPh>
    <rPh sb="3" eb="5">
      <t>シュツダイ</t>
    </rPh>
    <rPh sb="5" eb="7">
      <t>カイスウ</t>
    </rPh>
    <phoneticPr fontId="1"/>
  </si>
  <si>
    <t>A18</t>
    <phoneticPr fontId="1"/>
  </si>
  <si>
    <t>A19</t>
    <phoneticPr fontId="1"/>
  </si>
  <si>
    <t>A20</t>
    <phoneticPr fontId="1"/>
  </si>
  <si>
    <t>A21</t>
    <phoneticPr fontId="1"/>
  </si>
  <si>
    <t>A22</t>
    <phoneticPr fontId="1"/>
  </si>
  <si>
    <t>VHF/UHF帯におけるフェージングの特徴</t>
    <rPh sb="7" eb="8">
      <t>タイ</t>
    </rPh>
    <rPh sb="19" eb="21">
      <t>トクチョウ</t>
    </rPh>
    <phoneticPr fontId="1"/>
  </si>
  <si>
    <t>A23</t>
    <phoneticPr fontId="1"/>
  </si>
  <si>
    <t>A24</t>
    <phoneticPr fontId="1"/>
  </si>
  <si>
    <t>B1</t>
    <phoneticPr fontId="1"/>
  </si>
  <si>
    <t>磁界の説明</t>
    <rPh sb="0" eb="2">
      <t>ジカイ</t>
    </rPh>
    <rPh sb="3" eb="5">
      <t>セツメイ</t>
    </rPh>
    <phoneticPr fontId="1"/>
  </si>
  <si>
    <t>電気物理現象</t>
    <rPh sb="0" eb="2">
      <t>デンキ</t>
    </rPh>
    <rPh sb="2" eb="4">
      <t>ブツリ</t>
    </rPh>
    <rPh sb="4" eb="6">
      <t>ゲンショウ</t>
    </rPh>
    <phoneticPr fontId="1"/>
  </si>
  <si>
    <t>B2</t>
    <phoneticPr fontId="1"/>
  </si>
  <si>
    <t>B3</t>
    <phoneticPr fontId="1"/>
  </si>
  <si>
    <t>指向性アンテナについての説明</t>
    <rPh sb="0" eb="3">
      <t>シコウセイ</t>
    </rPh>
    <rPh sb="12" eb="14">
      <t>セツメイ</t>
    </rPh>
    <phoneticPr fontId="1"/>
  </si>
  <si>
    <t>B4</t>
    <phoneticPr fontId="1"/>
  </si>
  <si>
    <t>B5</t>
    <phoneticPr fontId="1"/>
  </si>
  <si>
    <t>電圧反射係数・VSWR・リターンロスに関する計算</t>
    <rPh sb="0" eb="2">
      <t>デンアツ</t>
    </rPh>
    <rPh sb="2" eb="4">
      <t>ハンシャ</t>
    </rPh>
    <rPh sb="4" eb="6">
      <t>ケイスウ</t>
    </rPh>
    <rPh sb="19" eb="20">
      <t>カン</t>
    </rPh>
    <rPh sb="22" eb="24">
      <t>ケイサン</t>
    </rPh>
    <phoneticPr fontId="1"/>
  </si>
  <si>
    <t>出題頻度</t>
    <rPh sb="0" eb="2">
      <t>シュツダイ</t>
    </rPh>
    <rPh sb="2" eb="4">
      <t>ヒンド</t>
    </rPh>
    <phoneticPr fontId="1"/>
  </si>
  <si>
    <t>A2</t>
    <phoneticPr fontId="1"/>
  </si>
  <si>
    <t>A3</t>
    <phoneticPr fontId="1"/>
  </si>
  <si>
    <t>A4</t>
    <phoneticPr fontId="1"/>
  </si>
  <si>
    <t>A5</t>
    <phoneticPr fontId="1"/>
  </si>
  <si>
    <t>A6</t>
    <phoneticPr fontId="1"/>
  </si>
  <si>
    <t>A8</t>
    <phoneticPr fontId="1"/>
  </si>
  <si>
    <t>A9</t>
    <phoneticPr fontId="1"/>
  </si>
  <si>
    <t>A10</t>
    <phoneticPr fontId="1"/>
  </si>
  <si>
    <t>デジタル通信におけるビットレート</t>
    <phoneticPr fontId="1"/>
  </si>
  <si>
    <t>A11</t>
    <phoneticPr fontId="1"/>
  </si>
  <si>
    <t>A12</t>
    <phoneticPr fontId="1"/>
  </si>
  <si>
    <t>OTL/SEPPプッシュプル増幅回路の動作原理</t>
    <phoneticPr fontId="1"/>
  </si>
  <si>
    <t>A7</t>
    <phoneticPr fontId="1"/>
  </si>
  <si>
    <t>コンデンサ直列接続時の静電エネルギーと電圧の計算</t>
    <rPh sb="5" eb="7">
      <t>チョクレツ</t>
    </rPh>
    <rPh sb="7" eb="10">
      <t>セツゾクジ</t>
    </rPh>
    <rPh sb="11" eb="13">
      <t>セイデン</t>
    </rPh>
    <rPh sb="19" eb="21">
      <t>デンアツ</t>
    </rPh>
    <rPh sb="22" eb="24">
      <t>ケイサン</t>
    </rPh>
    <phoneticPr fontId="1"/>
  </si>
  <si>
    <t>A1</t>
    <phoneticPr fontId="1"/>
  </si>
  <si>
    <t>比誘電率が異なる直列接続コンデンサの静電容量と電圧の計算</t>
    <rPh sb="23" eb="25">
      <t>デンアツ</t>
    </rPh>
    <phoneticPr fontId="1"/>
  </si>
  <si>
    <t>LC並列回路のリアクタンス周波数特性曲線</t>
    <rPh sb="2" eb="4">
      <t>ヘイレツ</t>
    </rPh>
    <rPh sb="4" eb="6">
      <t>カイロ</t>
    </rPh>
    <rPh sb="13" eb="16">
      <t>シュウハスウ</t>
    </rPh>
    <rPh sb="16" eb="18">
      <t>トクセイ</t>
    </rPh>
    <rPh sb="18" eb="20">
      <t>キョクセン</t>
    </rPh>
    <phoneticPr fontId="1"/>
  </si>
  <si>
    <t>A13</t>
    <phoneticPr fontId="1"/>
  </si>
  <si>
    <t>A14</t>
    <phoneticPr fontId="1"/>
  </si>
  <si>
    <t>FM受信機のスケルチの回路動作の説明</t>
    <rPh sb="2" eb="5">
      <t>ジュシンキ</t>
    </rPh>
    <rPh sb="11" eb="13">
      <t>カイロ</t>
    </rPh>
    <rPh sb="13" eb="15">
      <t>ドウサ</t>
    </rPh>
    <rPh sb="16" eb="18">
      <t>セツメイ</t>
    </rPh>
    <phoneticPr fontId="1"/>
  </si>
  <si>
    <t>受信機におけるS/N比についての説明</t>
    <rPh sb="0" eb="3">
      <t>ジュシンキ</t>
    </rPh>
    <rPh sb="10" eb="11">
      <t>ヒ</t>
    </rPh>
    <rPh sb="16" eb="18">
      <t>セツメイ</t>
    </rPh>
    <phoneticPr fontId="1"/>
  </si>
  <si>
    <t>A15</t>
    <phoneticPr fontId="1"/>
  </si>
  <si>
    <t>A16</t>
    <phoneticPr fontId="1"/>
  </si>
  <si>
    <t>A17</t>
    <phoneticPr fontId="1"/>
  </si>
  <si>
    <t>A18</t>
    <phoneticPr fontId="1"/>
  </si>
  <si>
    <t>定在波、VSWRなどに関する説明</t>
    <rPh sb="0" eb="3">
      <t>テイザイハ</t>
    </rPh>
    <rPh sb="11" eb="12">
      <t>カン</t>
    </rPh>
    <rPh sb="14" eb="16">
      <t>セツメイ</t>
    </rPh>
    <phoneticPr fontId="1"/>
  </si>
  <si>
    <t>A19</t>
    <phoneticPr fontId="1"/>
  </si>
  <si>
    <t>A20</t>
    <phoneticPr fontId="1"/>
  </si>
  <si>
    <t>A21</t>
    <phoneticPr fontId="1"/>
  </si>
  <si>
    <t>A22</t>
    <phoneticPr fontId="1"/>
  </si>
  <si>
    <t>CM形方向性結合器による空中線系の測定</t>
    <rPh sb="2" eb="3">
      <t>ガタ</t>
    </rPh>
    <rPh sb="3" eb="6">
      <t>ホウコウセイ</t>
    </rPh>
    <rPh sb="6" eb="8">
      <t>ケツゴウ</t>
    </rPh>
    <rPh sb="8" eb="9">
      <t>キ</t>
    </rPh>
    <rPh sb="12" eb="15">
      <t>クウチュウセン</t>
    </rPh>
    <rPh sb="15" eb="16">
      <t>ケイ</t>
    </rPh>
    <rPh sb="17" eb="19">
      <t>ソクテイ</t>
    </rPh>
    <phoneticPr fontId="1"/>
  </si>
  <si>
    <t>A23</t>
    <phoneticPr fontId="1"/>
  </si>
  <si>
    <t>A24</t>
    <phoneticPr fontId="1"/>
  </si>
  <si>
    <t>接地抵抗の測定</t>
    <rPh sb="0" eb="4">
      <t>セッチテイコウ</t>
    </rPh>
    <rPh sb="5" eb="7">
      <t>ソクテイ</t>
    </rPh>
    <phoneticPr fontId="1"/>
  </si>
  <si>
    <t>アマチュア衛星通信についての説明</t>
    <rPh sb="5" eb="7">
      <t>エイセイ</t>
    </rPh>
    <rPh sb="7" eb="9">
      <t>ツウシン</t>
    </rPh>
    <rPh sb="14" eb="16">
      <t>セツメイ</t>
    </rPh>
    <phoneticPr fontId="1"/>
  </si>
  <si>
    <t>A25</t>
    <phoneticPr fontId="1"/>
  </si>
  <si>
    <t>電磁誘導の説明</t>
    <rPh sb="0" eb="4">
      <t>デンジユウドウ</t>
    </rPh>
    <rPh sb="5" eb="7">
      <t>セツメイ</t>
    </rPh>
    <phoneticPr fontId="1"/>
  </si>
  <si>
    <t>B1</t>
    <phoneticPr fontId="1"/>
  </si>
  <si>
    <t>可変容量ダイオードの特徴</t>
    <rPh sb="0" eb="4">
      <t>カヘンヨウリョウ</t>
    </rPh>
    <rPh sb="10" eb="12">
      <t>トクチョウ</t>
    </rPh>
    <phoneticPr fontId="1"/>
  </si>
  <si>
    <t>B2</t>
    <phoneticPr fontId="1"/>
  </si>
  <si>
    <t>アンテナの利得に関する説明</t>
    <rPh sb="5" eb="7">
      <t>リトク</t>
    </rPh>
    <rPh sb="8" eb="9">
      <t>カン</t>
    </rPh>
    <rPh sb="11" eb="13">
      <t>セツメイ</t>
    </rPh>
    <phoneticPr fontId="1"/>
  </si>
  <si>
    <t>B3</t>
    <phoneticPr fontId="1"/>
  </si>
  <si>
    <t>B4</t>
    <phoneticPr fontId="1"/>
  </si>
  <si>
    <t>B5</t>
    <phoneticPr fontId="1"/>
  </si>
  <si>
    <t>比誘電率と電極間距離を変化させたときのコンデンサの静電容量の計算</t>
    <rPh sb="5" eb="10">
      <t>デンキョクカンキョリ</t>
    </rPh>
    <rPh sb="11" eb="13">
      <t>ヘンカ</t>
    </rPh>
    <phoneticPr fontId="1"/>
  </si>
  <si>
    <t>ビオ・サバールの法則による磁界強度の計算</t>
    <phoneticPr fontId="1"/>
  </si>
  <si>
    <t>エミッタ接地で用いるトランジスタの静特性曲線とｈパラメータ</t>
    <rPh sb="4" eb="6">
      <t>セッチ</t>
    </rPh>
    <rPh sb="7" eb="8">
      <t>モチ</t>
    </rPh>
    <rPh sb="17" eb="20">
      <t>セイトクセイ</t>
    </rPh>
    <rPh sb="20" eb="22">
      <t>キョクセン</t>
    </rPh>
    <phoneticPr fontId="1"/>
  </si>
  <si>
    <t>パルス符号（PCM）方式を用いた伝送系の原理的な構成</t>
    <rPh sb="3" eb="5">
      <t>フゴウ</t>
    </rPh>
    <rPh sb="10" eb="12">
      <t>ホウシキ</t>
    </rPh>
    <rPh sb="13" eb="14">
      <t>モチ</t>
    </rPh>
    <rPh sb="16" eb="18">
      <t>デンソウ</t>
    </rPh>
    <rPh sb="18" eb="19">
      <t>ケイ</t>
    </rPh>
    <rPh sb="20" eb="23">
      <t>ゲンリテキ</t>
    </rPh>
    <rPh sb="24" eb="26">
      <t>コウセイ</t>
    </rPh>
    <phoneticPr fontId="1"/>
  </si>
  <si>
    <t>1/4波長垂直接地アンテナの放射電力と放射効率の計算</t>
    <phoneticPr fontId="1"/>
  </si>
  <si>
    <t>電波伝搬共通</t>
    <rPh sb="0" eb="4">
      <t>デンパデンパン</t>
    </rPh>
    <rPh sb="4" eb="6">
      <t>キョウツウ</t>
    </rPh>
    <phoneticPr fontId="1"/>
  </si>
  <si>
    <t>周波数帯ごとの電離層伝搬の特徴</t>
    <rPh sb="0" eb="4">
      <t>シュウハスウタイ</t>
    </rPh>
    <rPh sb="7" eb="12">
      <t>デンリソウデンパン</t>
    </rPh>
    <rPh sb="13" eb="15">
      <t>トクチョウ</t>
    </rPh>
    <phoneticPr fontId="1"/>
  </si>
  <si>
    <t>永久磁石可動コイル形電流計の動作原理</t>
    <rPh sb="0" eb="4">
      <t>エイキュウジシャク</t>
    </rPh>
    <rPh sb="4" eb="6">
      <t>カドウ</t>
    </rPh>
    <rPh sb="9" eb="10">
      <t>ガタ</t>
    </rPh>
    <rPh sb="10" eb="13">
      <t>デンリュウケイ</t>
    </rPh>
    <phoneticPr fontId="1"/>
  </si>
  <si>
    <t>令和3年12月</t>
    <rPh sb="0" eb="2">
      <t>レイワ</t>
    </rPh>
    <rPh sb="3" eb="4">
      <t>ネン</t>
    </rPh>
    <rPh sb="6" eb="7">
      <t>ガツ</t>
    </rPh>
    <phoneticPr fontId="1"/>
  </si>
  <si>
    <t>令和3年4月</t>
    <rPh sb="0" eb="2">
      <t>レイワ</t>
    </rPh>
    <rPh sb="3" eb="4">
      <t>ネン</t>
    </rPh>
    <rPh sb="5" eb="6">
      <t>ガツ</t>
    </rPh>
    <phoneticPr fontId="1"/>
  </si>
  <si>
    <t>令和3年9月</t>
    <rPh sb="0" eb="2">
      <t>レイワ</t>
    </rPh>
    <rPh sb="3" eb="4">
      <t>ネン</t>
    </rPh>
    <rPh sb="5" eb="6">
      <t>ガツ</t>
    </rPh>
    <phoneticPr fontId="1"/>
  </si>
  <si>
    <t>A2</t>
    <phoneticPr fontId="1"/>
  </si>
  <si>
    <t>コンデンサ直列接続時の静電容量と端子電圧の計算</t>
    <rPh sb="5" eb="7">
      <t>チョクレツ</t>
    </rPh>
    <rPh sb="7" eb="10">
      <t>セツゾクジ</t>
    </rPh>
    <rPh sb="11" eb="13">
      <t>セイデン</t>
    </rPh>
    <rPh sb="13" eb="15">
      <t>ヨウリョウ</t>
    </rPh>
    <rPh sb="16" eb="18">
      <t>タンシ</t>
    </rPh>
    <rPh sb="18" eb="20">
      <t>デンアツ</t>
    </rPh>
    <rPh sb="21" eb="23">
      <t>ケイサン</t>
    </rPh>
    <phoneticPr fontId="1"/>
  </si>
  <si>
    <t>A1</t>
    <phoneticPr fontId="1"/>
  </si>
  <si>
    <t>A3</t>
    <phoneticPr fontId="1"/>
  </si>
  <si>
    <t>A4</t>
    <phoneticPr fontId="1"/>
  </si>
  <si>
    <t>A5</t>
    <phoneticPr fontId="1"/>
  </si>
  <si>
    <t>A6</t>
    <phoneticPr fontId="1"/>
  </si>
  <si>
    <t>A7</t>
    <phoneticPr fontId="1"/>
  </si>
  <si>
    <t>各種ダイオードの特徴</t>
    <rPh sb="0" eb="2">
      <t>カクシュ</t>
    </rPh>
    <rPh sb="8" eb="10">
      <t>トクチョウ</t>
    </rPh>
    <phoneticPr fontId="1"/>
  </si>
  <si>
    <t>A8</t>
    <phoneticPr fontId="1"/>
  </si>
  <si>
    <t>オペアンプを用いた増幅回路の利得と抵抗値に関する計算</t>
    <rPh sb="6" eb="7">
      <t>モチ</t>
    </rPh>
    <rPh sb="9" eb="13">
      <t>ゾウフクカイロ</t>
    </rPh>
    <rPh sb="14" eb="16">
      <t>リトク</t>
    </rPh>
    <rPh sb="17" eb="20">
      <t>テイコウチ</t>
    </rPh>
    <rPh sb="21" eb="22">
      <t>カン</t>
    </rPh>
    <rPh sb="24" eb="26">
      <t>ケイサン</t>
    </rPh>
    <phoneticPr fontId="1"/>
  </si>
  <si>
    <t>A9</t>
    <phoneticPr fontId="1"/>
  </si>
  <si>
    <t>論理回路と論理式の正しい組み合わせ</t>
    <rPh sb="5" eb="8">
      <t>ロンリシキ</t>
    </rPh>
    <rPh sb="9" eb="10">
      <t>タダ</t>
    </rPh>
    <rPh sb="12" eb="13">
      <t>ク</t>
    </rPh>
    <rPh sb="14" eb="15">
      <t>ア</t>
    </rPh>
    <phoneticPr fontId="1"/>
  </si>
  <si>
    <t>A10</t>
    <phoneticPr fontId="1"/>
  </si>
  <si>
    <t>電鍵操作回路の説明</t>
    <rPh sb="0" eb="2">
      <t>デンケン</t>
    </rPh>
    <rPh sb="2" eb="6">
      <t>ソウサカイロ</t>
    </rPh>
    <rPh sb="7" eb="9">
      <t>セツメイ</t>
    </rPh>
    <phoneticPr fontId="1"/>
  </si>
  <si>
    <t>A11</t>
    <phoneticPr fontId="1"/>
  </si>
  <si>
    <t>A12</t>
    <phoneticPr fontId="1"/>
  </si>
  <si>
    <t>A13</t>
    <phoneticPr fontId="1"/>
  </si>
  <si>
    <t>A14</t>
    <phoneticPr fontId="1"/>
  </si>
  <si>
    <t>A15</t>
    <phoneticPr fontId="1"/>
  </si>
  <si>
    <t>混変調についての説明</t>
    <rPh sb="0" eb="3">
      <t>コンヘンチョウ</t>
    </rPh>
    <rPh sb="8" eb="10">
      <t>セツメイ</t>
    </rPh>
    <phoneticPr fontId="1"/>
  </si>
  <si>
    <t>A16</t>
    <phoneticPr fontId="1"/>
  </si>
  <si>
    <t>A17</t>
    <phoneticPr fontId="1"/>
  </si>
  <si>
    <t>A18</t>
    <phoneticPr fontId="1"/>
  </si>
  <si>
    <t>1/4波長垂直接地アンテナの特徴</t>
    <rPh sb="14" eb="16">
      <t>トクチョウ</t>
    </rPh>
    <phoneticPr fontId="1"/>
  </si>
  <si>
    <t>A19</t>
    <phoneticPr fontId="1"/>
  </si>
  <si>
    <t>A20</t>
    <phoneticPr fontId="1"/>
  </si>
  <si>
    <t>A21</t>
    <phoneticPr fontId="1"/>
  </si>
  <si>
    <t>各電離層の状態の特徴</t>
    <rPh sb="0" eb="4">
      <t>カクデンリソウ</t>
    </rPh>
    <rPh sb="5" eb="7">
      <t>ジョウタイ</t>
    </rPh>
    <rPh sb="8" eb="10">
      <t>トクチョウ</t>
    </rPh>
    <phoneticPr fontId="1"/>
  </si>
  <si>
    <t>A22</t>
    <phoneticPr fontId="1"/>
  </si>
  <si>
    <t>A23</t>
    <phoneticPr fontId="1"/>
  </si>
  <si>
    <t>A25</t>
    <phoneticPr fontId="1"/>
  </si>
  <si>
    <t>熱電対形計器の動作原理</t>
    <rPh sb="0" eb="3">
      <t>ネツデンツイ</t>
    </rPh>
    <rPh sb="3" eb="4">
      <t>カタチ</t>
    </rPh>
    <rPh sb="4" eb="6">
      <t>ケイキ</t>
    </rPh>
    <phoneticPr fontId="1"/>
  </si>
  <si>
    <t>A24</t>
    <phoneticPr fontId="1"/>
  </si>
  <si>
    <t>B1</t>
    <phoneticPr fontId="1"/>
  </si>
  <si>
    <t>B2</t>
    <phoneticPr fontId="1"/>
  </si>
  <si>
    <t>B4</t>
    <phoneticPr fontId="1"/>
  </si>
  <si>
    <t>B3</t>
    <phoneticPr fontId="1"/>
  </si>
  <si>
    <t>B5</t>
    <phoneticPr fontId="1"/>
  </si>
  <si>
    <t>3端子接続形トランジスタ発振回路の原理的構成例</t>
    <rPh sb="1" eb="3">
      <t>タンシ</t>
    </rPh>
    <rPh sb="3" eb="5">
      <t>セツゾク</t>
    </rPh>
    <rPh sb="5" eb="6">
      <t>カタチ</t>
    </rPh>
    <rPh sb="12" eb="14">
      <t>ハッシン</t>
    </rPh>
    <rPh sb="14" eb="16">
      <t>カイロ</t>
    </rPh>
    <rPh sb="17" eb="20">
      <t>ゲンリテキ</t>
    </rPh>
    <rPh sb="20" eb="22">
      <t>コウセイ</t>
    </rPh>
    <rPh sb="22" eb="23">
      <t>レイ</t>
    </rPh>
    <phoneticPr fontId="1"/>
  </si>
  <si>
    <t>負帰還増幅回路の位相差と帰還率</t>
    <rPh sb="0" eb="3">
      <t>フキカン</t>
    </rPh>
    <rPh sb="3" eb="5">
      <t>ゾウフク</t>
    </rPh>
    <rPh sb="5" eb="7">
      <t>カイロ</t>
    </rPh>
    <rPh sb="8" eb="11">
      <t>イソウサ</t>
    </rPh>
    <rPh sb="12" eb="15">
      <t>キカンリツ</t>
    </rPh>
    <phoneticPr fontId="1"/>
  </si>
  <si>
    <t>電界の説明</t>
    <rPh sb="0" eb="2">
      <t>デンカイ</t>
    </rPh>
    <rPh sb="3" eb="5">
      <t>セツメイ</t>
    </rPh>
    <phoneticPr fontId="1"/>
  </si>
  <si>
    <t>1/4波長整合回路によるアンテナ入力インピーダンスの計算</t>
    <phoneticPr fontId="1"/>
  </si>
  <si>
    <t>スミスチャートの概略説明</t>
    <rPh sb="8" eb="10">
      <t>ガイリャク</t>
    </rPh>
    <rPh sb="10" eb="12">
      <t>セツメイ</t>
    </rPh>
    <phoneticPr fontId="1"/>
  </si>
  <si>
    <t>FFTアナライザの構成例</t>
    <rPh sb="9" eb="11">
      <t>コウセイ</t>
    </rPh>
    <rPh sb="11" eb="12">
      <t>レイ</t>
    </rPh>
    <phoneticPr fontId="1"/>
  </si>
  <si>
    <t>スリーブアンテナの特徴</t>
    <rPh sb="9" eb="11">
      <t>トクチョウ</t>
    </rPh>
    <phoneticPr fontId="1"/>
  </si>
  <si>
    <t>過去12期
出題確率
※直近除く</t>
    <rPh sb="0" eb="2">
      <t>カコ</t>
    </rPh>
    <rPh sb="4" eb="5">
      <t>キ</t>
    </rPh>
    <rPh sb="6" eb="8">
      <t>シュツダイ</t>
    </rPh>
    <rPh sb="8" eb="10">
      <t>カクリツ</t>
    </rPh>
    <rPh sb="12" eb="14">
      <t>チョッキン</t>
    </rPh>
    <rPh sb="14" eb="15">
      <t>ノゾ</t>
    </rPh>
    <phoneticPr fontId="1"/>
  </si>
  <si>
    <t>★★</t>
  </si>
  <si>
    <t>★★★</t>
  </si>
  <si>
    <t>★</t>
  </si>
  <si>
    <t>★★★★</t>
  </si>
  <si>
    <t>★★★★★</t>
  </si>
  <si>
    <t>★★★★</t>
    <phoneticPr fontId="1"/>
  </si>
  <si>
    <t>★★★★★</t>
    <phoneticPr fontId="1"/>
  </si>
  <si>
    <t>（集計用非表示行）</t>
    <rPh sb="1" eb="4">
      <t>シュウケイヨウ</t>
    </rPh>
    <rPh sb="4" eb="7">
      <t>ヒヒョウジ</t>
    </rPh>
    <rPh sb="7" eb="8">
      <t>ギョウ</t>
    </rPh>
    <phoneticPr fontId="1"/>
  </si>
  <si>
    <t>K</t>
    <phoneticPr fontId="1"/>
  </si>
  <si>
    <t>A</t>
    <phoneticPr fontId="1"/>
  </si>
  <si>
    <t>B</t>
    <phoneticPr fontId="1"/>
  </si>
  <si>
    <t>S</t>
    <phoneticPr fontId="1"/>
  </si>
  <si>
    <t>電気磁気測定
（工学基礎）</t>
    <rPh sb="0" eb="4">
      <t>デンキジキ</t>
    </rPh>
    <rPh sb="4" eb="6">
      <t>ソクテイ</t>
    </rPh>
    <phoneticPr fontId="1"/>
  </si>
  <si>
    <t>送受信機測定（工学A）</t>
    <rPh sb="0" eb="4">
      <t>ソウジュシンキ</t>
    </rPh>
    <rPh sb="4" eb="6">
      <t>ソクテイ</t>
    </rPh>
    <phoneticPr fontId="1"/>
  </si>
  <si>
    <t>空中線系測定（工学B）</t>
    <rPh sb="0" eb="4">
      <t>クウチュウセンケイ</t>
    </rPh>
    <rPh sb="4" eb="6">
      <t>ソクテイ</t>
    </rPh>
    <phoneticPr fontId="1"/>
  </si>
  <si>
    <t>ID</t>
    <phoneticPr fontId="1"/>
  </si>
  <si>
    <t>AM（A3E）送信機の変調度・搬送波電力・平均電力・送信出力の知識と計算</t>
    <rPh sb="7" eb="10">
      <t>ソウシンキ</t>
    </rPh>
    <rPh sb="11" eb="14">
      <t>ヘンチョウド</t>
    </rPh>
    <rPh sb="15" eb="18">
      <t>ハンソウハ</t>
    </rPh>
    <rPh sb="18" eb="20">
      <t>デンリョク</t>
    </rPh>
    <rPh sb="21" eb="25">
      <t>ヘイキンデンリョク</t>
    </rPh>
    <rPh sb="26" eb="30">
      <t>ソウシンシュツリョク</t>
    </rPh>
    <rPh sb="31" eb="33">
      <t>チシキ</t>
    </rPh>
    <phoneticPr fontId="1"/>
  </si>
  <si>
    <t>A2</t>
    <phoneticPr fontId="1"/>
  </si>
  <si>
    <t>環状鉄心にコイルを巻いたときのインダクタンス、比透磁率、電流の特徴と計算</t>
    <rPh sb="0" eb="2">
      <t>カンジョウ</t>
    </rPh>
    <rPh sb="2" eb="4">
      <t>テッシン</t>
    </rPh>
    <rPh sb="9" eb="10">
      <t>マ</t>
    </rPh>
    <rPh sb="23" eb="24">
      <t>ヒ</t>
    </rPh>
    <rPh sb="24" eb="27">
      <t>トウジリツ</t>
    </rPh>
    <rPh sb="28" eb="30">
      <t>デンリュウ</t>
    </rPh>
    <rPh sb="31" eb="33">
      <t>トクチョウ</t>
    </rPh>
    <rPh sb="34" eb="36">
      <t>ケイサン</t>
    </rPh>
    <phoneticPr fontId="1"/>
  </si>
  <si>
    <t>○</t>
    <phoneticPr fontId="1"/>
  </si>
  <si>
    <t>電気と磁気に関する法則および各種電気現象</t>
    <rPh sb="0" eb="2">
      <t>デンキ</t>
    </rPh>
    <rPh sb="3" eb="5">
      <t>ジキ</t>
    </rPh>
    <rPh sb="6" eb="7">
      <t>カン</t>
    </rPh>
    <rPh sb="9" eb="11">
      <t>ホウソク</t>
    </rPh>
    <rPh sb="14" eb="16">
      <t>カクシュ</t>
    </rPh>
    <rPh sb="16" eb="18">
      <t>デンキ</t>
    </rPh>
    <rPh sb="18" eb="20">
      <t>ゲンショウ</t>
    </rPh>
    <phoneticPr fontId="1"/>
  </si>
  <si>
    <t>解説
（○＝あり）</t>
    <rPh sb="0" eb="2">
      <t>カイセツ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</si>
</sst>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6">
    <font>
      <sz val="11"/>
      <color theme="1"/>
      <name val="Yu Gothic"/>
      <family val="2"/>
      <scheme val="minor"/>
    </font>
    <font>
      <sz val="6"/>
      <name val="Yu Gothic"/>
      <family val="3"/>
      <charset val="128"/>
      <scheme val="minor"/>
    </font>
    <font>
      <sz val="11"/>
      <color theme="1"/>
      <name val="Meiryo UI"/>
      <family val="3"/>
      <charset val="128"/>
    </font>
    <font>
      <sz val="9"/>
      <color indexed="81"/>
      <name val="MS P ゴシック"/>
      <family val="3"/>
      <charset val="128"/>
    </font>
    <font>
      <b/>
      <sz val="9"/>
      <color indexed="81"/>
      <name val="MS P ゴシック"/>
      <family val="3"/>
      <charset val="128"/>
    </font>
    <font>
      <sz val="11"/>
      <color theme="0"/>
      <name val="Meiryo UI"/>
      <family val="3"/>
      <charset val="128"/>
    </font>
  </fonts>
  <fills count="7">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19">
    <xf numFmtId="0" fontId="0" fillId="0" borderId="0" xfId="0"/>
    <xf numFmtId="0" fontId="2" fillId="0" borderId="0" xfId="0" applyFont="1"/>
    <xf numFmtId="0" fontId="2" fillId="0" borderId="0" xfId="0" applyFont="1" applyAlignment="1">
      <alignment horizontal="center"/>
    </xf>
    <xf numFmtId="0" fontId="2" fillId="2" borderId="0" xfId="0" applyFont="1" applyFill="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0" borderId="0" xfId="0" applyFont="1" applyAlignment="1">
      <alignment horizontal="center" wrapText="1"/>
    </xf>
    <xf numFmtId="0" fontId="2" fillId="5" borderId="0" xfId="0" applyFont="1" applyFill="1" applyAlignment="1">
      <alignment wrapText="1"/>
    </xf>
    <xf numFmtId="0" fontId="2" fillId="2" borderId="0" xfId="0" applyFont="1" applyFill="1" applyAlignment="1">
      <alignment wrapText="1"/>
    </xf>
    <xf numFmtId="0" fontId="2" fillId="4" borderId="0" xfId="0" applyFont="1" applyFill="1" applyAlignment="1">
      <alignment wrapText="1"/>
    </xf>
    <xf numFmtId="0" fontId="2" fillId="6" borderId="0" xfId="0" applyFont="1" applyFill="1"/>
    <xf numFmtId="176" fontId="2" fillId="0" borderId="0" xfId="0" applyNumberFormat="1" applyFont="1" applyAlignment="1" applyProtection="1">
      <alignment horizontal="center"/>
      <protection locked="0"/>
    </xf>
    <xf numFmtId="0" fontId="2" fillId="0" borderId="0" xfId="0" applyFont="1" applyAlignment="1">
      <alignment horizontal="right"/>
    </xf>
    <xf numFmtId="0" fontId="2" fillId="0" borderId="1" xfId="0" applyFont="1" applyBorder="1"/>
    <xf numFmtId="0" fontId="2" fillId="0" borderId="1" xfId="0" applyFont="1" applyBorder="1" applyAlignment="1">
      <alignment horizontal="center"/>
    </xf>
    <xf numFmtId="176" fontId="2" fillId="0" borderId="0" xfId="0" applyNumberFormat="1" applyFont="1" applyAlignment="1">
      <alignment horizontal="center"/>
    </xf>
    <xf numFmtId="0" fontId="2" fillId="0" borderId="0" xfId="0" applyFont="1" applyAlignment="1">
      <alignment wrapText="1"/>
    </xf>
    <xf numFmtId="0" fontId="5" fillId="0" borderId="0" xfId="0" applyFont="1"/>
    <xf numFmtId="177" fontId="2" fillId="0" borderId="0" xfId="0" applyNumberFormat="1" applyFont="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434"/>
  <sheetViews>
    <sheetView tabSelected="1" workbookViewId="0">
      <pane ySplit="1" topLeftCell="A191" activePane="bottomLeft" state="frozen"/>
      <selection pane="bottomLeft" activeCell="AF167" sqref="AF167"/>
    </sheetView>
  </sheetViews>
  <sheetFormatPr defaultRowHeight="15"/>
  <cols>
    <col min="1" max="1" width="14" style="1" bestFit="1" customWidth="1"/>
    <col min="2" max="2" width="2.59765625" style="1" hidden="1" customWidth="1"/>
    <col min="3" max="3" width="24.09765625" style="1" bestFit="1" customWidth="1"/>
    <col min="4" max="4" width="14" style="1" bestFit="1" customWidth="1"/>
    <col min="5" max="5" width="14" style="1" hidden="1" customWidth="1"/>
    <col min="6" max="6" width="6" style="2" customWidth="1"/>
    <col min="7" max="7" width="6" style="2" hidden="1" customWidth="1"/>
    <col min="8" max="8" width="63.59765625" style="1" bestFit="1" customWidth="1"/>
    <col min="9" max="9" width="5.8984375" style="1" bestFit="1" customWidth="1"/>
    <col min="10" max="10" width="6.796875" style="2" bestFit="1" customWidth="1"/>
    <col min="11" max="13" width="6" style="2" customWidth="1"/>
    <col min="14" max="14" width="9.5" style="2" bestFit="1" customWidth="1"/>
    <col min="15" max="15" width="10.3984375" style="2" bestFit="1" customWidth="1"/>
    <col min="16" max="30" width="4.796875" style="1" bestFit="1" customWidth="1"/>
    <col min="31" max="16384" width="8.796875" style="1"/>
  </cols>
  <sheetData>
    <row r="1" spans="1:32" ht="60">
      <c r="A1" s="1" t="s">
        <v>12</v>
      </c>
      <c r="C1" s="1" t="s">
        <v>11</v>
      </c>
      <c r="D1" s="1" t="s">
        <v>83</v>
      </c>
      <c r="F1" s="6" t="s">
        <v>435</v>
      </c>
      <c r="G1" s="6"/>
      <c r="H1" s="1" t="s">
        <v>84</v>
      </c>
      <c r="I1" s="1" t="s">
        <v>604</v>
      </c>
      <c r="J1" s="6" t="s">
        <v>4</v>
      </c>
      <c r="K1" s="6" t="s">
        <v>228</v>
      </c>
      <c r="L1" s="6" t="s">
        <v>302</v>
      </c>
      <c r="M1" s="6" t="s">
        <v>468</v>
      </c>
      <c r="N1" s="6" t="s">
        <v>588</v>
      </c>
      <c r="O1" s="6" t="s">
        <v>486</v>
      </c>
      <c r="P1" s="7" t="s">
        <v>108</v>
      </c>
      <c r="Q1" s="8" t="s">
        <v>13</v>
      </c>
      <c r="R1" s="8" t="s">
        <v>55</v>
      </c>
      <c r="S1" s="9" t="s">
        <v>75</v>
      </c>
      <c r="T1" s="9" t="s">
        <v>205</v>
      </c>
      <c r="U1" s="9" t="s">
        <v>258</v>
      </c>
      <c r="V1" s="8" t="s">
        <v>310</v>
      </c>
      <c r="W1" s="8" t="s">
        <v>311</v>
      </c>
      <c r="X1" s="8" t="s">
        <v>312</v>
      </c>
      <c r="Y1" s="9" t="s">
        <v>438</v>
      </c>
      <c r="Z1" s="9" t="s">
        <v>439</v>
      </c>
      <c r="AA1" s="9" t="s">
        <v>440</v>
      </c>
      <c r="AB1" s="8" t="s">
        <v>539</v>
      </c>
      <c r="AC1" s="8" t="s">
        <v>541</v>
      </c>
      <c r="AD1" s="8" t="s">
        <v>540</v>
      </c>
      <c r="AF1" s="16" t="s">
        <v>610</v>
      </c>
    </row>
    <row r="2" spans="1:32">
      <c r="A2" s="1" t="s">
        <v>0</v>
      </c>
      <c r="B2" s="1" t="s">
        <v>597</v>
      </c>
      <c r="C2" s="1" t="s">
        <v>2</v>
      </c>
      <c r="D2" s="1" t="s">
        <v>85</v>
      </c>
      <c r="F2" s="2">
        <f>SUM(K2:K3)</f>
        <v>9</v>
      </c>
      <c r="G2" s="18">
        <v>1</v>
      </c>
      <c r="H2" s="1" t="s">
        <v>1</v>
      </c>
      <c r="I2" s="1" t="str">
        <f>B2&amp;TEXT(G2,"000")</f>
        <v>K001</v>
      </c>
      <c r="J2" s="3" t="s">
        <v>5</v>
      </c>
      <c r="K2" s="2">
        <f t="shared" ref="K2:K14" si="0">COUNTA(P2:AS2)</f>
        <v>2</v>
      </c>
      <c r="L2" s="2">
        <f t="shared" ref="L2:L14" si="1">COUNTA(Q2:AT2)</f>
        <v>2</v>
      </c>
      <c r="M2" s="2" cm="1">
        <f t="array" ref="M2">MATCH(TRUE,P2:AD2&lt;&gt;"",0)-1</f>
        <v>1</v>
      </c>
      <c r="N2" s="11">
        <f>COUNTA(Q2:AB2)/COUNTA($Q$1:$AB$1)*100</f>
        <v>16.666666666666664</v>
      </c>
      <c r="O2" s="11" t="str">
        <f>IF(N2&gt;=33,"★★★★★",IF(N2&gt;=25,"★★★★",IF(N2&gt;=15,"★★★",IF(N2&gt;=5,"★★","★"))))</f>
        <v>★★★</v>
      </c>
      <c r="Q2" s="1" t="s">
        <v>14</v>
      </c>
      <c r="T2" s="1" t="s">
        <v>206</v>
      </c>
    </row>
    <row r="3" spans="1:32">
      <c r="A3" s="17" t="s">
        <v>0</v>
      </c>
      <c r="B3" s="17" t="s">
        <v>597</v>
      </c>
      <c r="C3" s="17" t="s">
        <v>2</v>
      </c>
      <c r="G3" s="18">
        <v>2</v>
      </c>
      <c r="H3" s="1" t="s">
        <v>607</v>
      </c>
      <c r="I3" s="1" t="str">
        <f t="shared" ref="I3:I64" si="2">B3&amp;TEXT(G3,"000")</f>
        <v>K002</v>
      </c>
      <c r="J3" s="5" t="s">
        <v>80</v>
      </c>
      <c r="K3" s="2">
        <f t="shared" si="0"/>
        <v>7</v>
      </c>
      <c r="L3" s="2">
        <f t="shared" si="1"/>
        <v>6</v>
      </c>
      <c r="M3" s="2" cm="1">
        <f t="array" ref="M3">MATCH(TRUE,P3:AD3&lt;&gt;"",0)-1</f>
        <v>0</v>
      </c>
      <c r="N3" s="11">
        <f t="shared" ref="N3:N64" si="3">COUNTA(Q3:AB3)/COUNTA($Q$1:$AB$1)*100</f>
        <v>33.333333333333329</v>
      </c>
      <c r="O3" s="11" t="str">
        <f t="shared" ref="O3:O64" si="4">IF(N3&gt;=33,"★★★★★",IF(N3&gt;=25,"★★★★",IF(N3&gt;=15,"★★★",IF(N3&gt;=5,"★★","★"))))</f>
        <v>★★★★★</v>
      </c>
      <c r="P3" s="1" t="s">
        <v>49</v>
      </c>
      <c r="R3" s="1" t="s">
        <v>50</v>
      </c>
      <c r="S3" s="1" t="s">
        <v>606</v>
      </c>
      <c r="U3" s="1" t="s">
        <v>261</v>
      </c>
      <c r="Z3" s="1" t="s">
        <v>487</v>
      </c>
      <c r="AC3" s="1" t="s">
        <v>606</v>
      </c>
      <c r="AF3" s="1" t="s">
        <v>608</v>
      </c>
    </row>
    <row r="4" spans="1:32">
      <c r="A4" s="17" t="s">
        <v>0</v>
      </c>
      <c r="B4" s="17" t="s">
        <v>597</v>
      </c>
      <c r="C4" s="17" t="s">
        <v>2</v>
      </c>
      <c r="G4" s="18">
        <f>G3+1</f>
        <v>3</v>
      </c>
      <c r="H4" s="1" t="s">
        <v>448</v>
      </c>
      <c r="I4" s="1" t="str">
        <f t="shared" si="2"/>
        <v>K003</v>
      </c>
      <c r="J4" s="4" t="s">
        <v>6</v>
      </c>
      <c r="K4" s="2">
        <f t="shared" ref="K4" si="5">COUNTA(P4:AS4)</f>
        <v>2</v>
      </c>
      <c r="L4" s="2">
        <f t="shared" ref="L4" si="6">COUNTA(Q4:AT4)</f>
        <v>2</v>
      </c>
      <c r="M4" s="2" cm="1">
        <f t="array" ref="M4">MATCH(TRUE,P4:AD4&lt;&gt;"",0)-1</f>
        <v>9</v>
      </c>
      <c r="N4" s="11">
        <f>COUNTA(Q4:AB4)/COUNTA($Q$1:$AB$1)*100</f>
        <v>16.666666666666664</v>
      </c>
      <c r="O4" s="11" t="str">
        <f t="shared" si="4"/>
        <v>★★★</v>
      </c>
      <c r="Y4" s="1" t="s">
        <v>449</v>
      </c>
      <c r="AB4" s="1" t="s">
        <v>542</v>
      </c>
    </row>
    <row r="5" spans="1:32">
      <c r="A5" s="17" t="s">
        <v>0</v>
      </c>
      <c r="B5" s="17" t="s">
        <v>597</v>
      </c>
      <c r="C5" s="17" t="s">
        <v>2</v>
      </c>
      <c r="D5" s="1" t="s">
        <v>309</v>
      </c>
      <c r="F5" s="2">
        <f>SUM(K5:K11)</f>
        <v>11</v>
      </c>
      <c r="G5" s="18">
        <f>G4+1</f>
        <v>4</v>
      </c>
      <c r="H5" s="1" t="s">
        <v>170</v>
      </c>
      <c r="I5" s="1" t="str">
        <f t="shared" si="2"/>
        <v>K004</v>
      </c>
      <c r="J5" s="4" t="s">
        <v>6</v>
      </c>
      <c r="K5" s="2">
        <f t="shared" si="0"/>
        <v>1</v>
      </c>
      <c r="L5" s="2">
        <f t="shared" si="1"/>
        <v>1</v>
      </c>
      <c r="M5" s="2" cm="1">
        <f t="array" ref="M5">MATCH(TRUE,P5:AD5&lt;&gt;"",0)-1</f>
        <v>2</v>
      </c>
      <c r="N5" s="11">
        <f t="shared" si="3"/>
        <v>8.3333333333333321</v>
      </c>
      <c r="O5" s="11" t="str">
        <f t="shared" si="4"/>
        <v>★★</v>
      </c>
      <c r="R5" s="1" t="s">
        <v>49</v>
      </c>
    </row>
    <row r="6" spans="1:32">
      <c r="A6" s="17" t="s">
        <v>0</v>
      </c>
      <c r="B6" s="17" t="s">
        <v>597</v>
      </c>
      <c r="C6" s="17" t="s">
        <v>2</v>
      </c>
      <c r="G6" s="18">
        <f t="shared" ref="G6:G69" si="7">G5+1</f>
        <v>5</v>
      </c>
      <c r="H6" s="1" t="s">
        <v>500</v>
      </c>
      <c r="I6" s="1" t="str">
        <f t="shared" si="2"/>
        <v>K005</v>
      </c>
      <c r="J6" s="4" t="s">
        <v>6</v>
      </c>
      <c r="K6" s="2">
        <f t="shared" si="0"/>
        <v>2</v>
      </c>
      <c r="L6" s="2">
        <f t="shared" si="1"/>
        <v>2</v>
      </c>
      <c r="M6" s="2" cm="1">
        <f t="array" ref="M6">MATCH(TRUE,P6:AD6&lt;&gt;"",0)-1</f>
        <v>1</v>
      </c>
      <c r="N6" s="11">
        <f t="shared" si="3"/>
        <v>16.666666666666664</v>
      </c>
      <c r="O6" s="11" t="str">
        <f t="shared" si="4"/>
        <v>★★★</v>
      </c>
      <c r="Q6" s="1" t="s">
        <v>15</v>
      </c>
      <c r="Z6" s="1" t="s">
        <v>501</v>
      </c>
    </row>
    <row r="7" spans="1:32">
      <c r="A7" s="17" t="s">
        <v>0</v>
      </c>
      <c r="B7" s="17" t="s">
        <v>597</v>
      </c>
      <c r="C7" s="17" t="s">
        <v>2</v>
      </c>
      <c r="G7" s="18">
        <f t="shared" si="7"/>
        <v>6</v>
      </c>
      <c r="H7" s="1" t="s">
        <v>543</v>
      </c>
      <c r="I7" s="1" t="str">
        <f t="shared" si="2"/>
        <v>K006</v>
      </c>
      <c r="J7" s="4" t="s">
        <v>6</v>
      </c>
      <c r="K7" s="2">
        <f t="shared" ref="K7" si="8">COUNTA(P7:AS7)</f>
        <v>1</v>
      </c>
      <c r="L7" s="2">
        <f t="shared" ref="L7" si="9">COUNTA(Q7:AT7)</f>
        <v>1</v>
      </c>
      <c r="M7" s="2" cm="1">
        <f t="array" ref="M7">MATCH(TRUE,P7:AD7&lt;&gt;"",0)-1</f>
        <v>12</v>
      </c>
      <c r="N7" s="11">
        <f t="shared" si="3"/>
        <v>8.3333333333333321</v>
      </c>
      <c r="O7" s="11" t="str">
        <f t="shared" si="4"/>
        <v>★★</v>
      </c>
      <c r="AB7" s="1" t="s">
        <v>544</v>
      </c>
    </row>
    <row r="8" spans="1:32">
      <c r="A8" s="17" t="s">
        <v>0</v>
      </c>
      <c r="B8" s="17" t="s">
        <v>597</v>
      </c>
      <c r="C8" s="17" t="s">
        <v>2</v>
      </c>
      <c r="G8" s="18">
        <f t="shared" si="7"/>
        <v>7</v>
      </c>
      <c r="H8" s="1" t="s">
        <v>502</v>
      </c>
      <c r="I8" s="1" t="str">
        <f t="shared" si="2"/>
        <v>K007</v>
      </c>
      <c r="J8" s="4" t="s">
        <v>6</v>
      </c>
      <c r="K8" s="2">
        <f t="shared" si="0"/>
        <v>3</v>
      </c>
      <c r="L8" s="2">
        <f t="shared" si="1"/>
        <v>3</v>
      </c>
      <c r="M8" s="2" cm="1">
        <f t="array" ref="M8">MATCH(TRUE,P8:AD8&lt;&gt;"",0)-1</f>
        <v>3</v>
      </c>
      <c r="N8" s="11">
        <f t="shared" si="3"/>
        <v>25</v>
      </c>
      <c r="O8" s="11" t="str">
        <f t="shared" si="4"/>
        <v>★★★★</v>
      </c>
      <c r="S8" s="1" t="s">
        <v>48</v>
      </c>
      <c r="T8" s="1" t="s">
        <v>49</v>
      </c>
      <c r="Y8" s="1" t="s">
        <v>48</v>
      </c>
    </row>
    <row r="9" spans="1:32">
      <c r="A9" s="17" t="s">
        <v>0</v>
      </c>
      <c r="B9" s="17" t="s">
        <v>597</v>
      </c>
      <c r="C9" s="17" t="s">
        <v>2</v>
      </c>
      <c r="G9" s="18">
        <f t="shared" si="7"/>
        <v>8</v>
      </c>
      <c r="H9" s="1" t="s">
        <v>531</v>
      </c>
      <c r="I9" s="1" t="str">
        <f t="shared" si="2"/>
        <v>K008</v>
      </c>
      <c r="J9" s="4" t="s">
        <v>6</v>
      </c>
      <c r="K9" s="2">
        <f t="shared" ref="K9" si="10">COUNTA(P9:AS9)</f>
        <v>1</v>
      </c>
      <c r="L9" s="2">
        <f t="shared" ref="L9" si="11">COUNTA(Q9:AT9)</f>
        <v>1</v>
      </c>
      <c r="M9" s="2" cm="1">
        <f t="array" ref="M9">MATCH(TRUE,P9:AD9&lt;&gt;"",0)-1</f>
        <v>11</v>
      </c>
      <c r="N9" s="11">
        <f t="shared" si="3"/>
        <v>8.3333333333333321</v>
      </c>
      <c r="O9" s="11" t="str">
        <f t="shared" si="4"/>
        <v>★★</v>
      </c>
      <c r="AA9" s="1" t="s">
        <v>501</v>
      </c>
    </row>
    <row r="10" spans="1:32">
      <c r="A10" s="17" t="s">
        <v>0</v>
      </c>
      <c r="B10" s="17" t="s">
        <v>597</v>
      </c>
      <c r="C10" s="17" t="s">
        <v>2</v>
      </c>
      <c r="G10" s="18">
        <f t="shared" si="7"/>
        <v>9</v>
      </c>
      <c r="H10" s="1" t="s">
        <v>259</v>
      </c>
      <c r="I10" s="1" t="str">
        <f t="shared" si="2"/>
        <v>K009</v>
      </c>
      <c r="J10" s="4" t="s">
        <v>6</v>
      </c>
      <c r="K10" s="2">
        <f t="shared" si="0"/>
        <v>2</v>
      </c>
      <c r="L10" s="2">
        <f t="shared" si="1"/>
        <v>2</v>
      </c>
      <c r="M10" s="2" cm="1">
        <f t="array" ref="M10">MATCH(TRUE,P10:AD10&lt;&gt;"",0)-1</f>
        <v>5</v>
      </c>
      <c r="N10" s="11">
        <f t="shared" si="3"/>
        <v>16.666666666666664</v>
      </c>
      <c r="O10" s="11" t="str">
        <f t="shared" si="4"/>
        <v>★★★</v>
      </c>
      <c r="U10" s="1" t="s">
        <v>260</v>
      </c>
      <c r="X10" s="1" t="s">
        <v>394</v>
      </c>
    </row>
    <row r="11" spans="1:32">
      <c r="A11" s="17" t="s">
        <v>0</v>
      </c>
      <c r="B11" s="17" t="s">
        <v>597</v>
      </c>
      <c r="C11" s="17" t="s">
        <v>2</v>
      </c>
      <c r="G11" s="18">
        <f t="shared" si="7"/>
        <v>10</v>
      </c>
      <c r="H11" s="1" t="s">
        <v>353</v>
      </c>
      <c r="I11" s="1" t="str">
        <f t="shared" si="2"/>
        <v>K010</v>
      </c>
      <c r="J11" s="4" t="s">
        <v>6</v>
      </c>
      <c r="K11" s="2">
        <f t="shared" ref="K11" si="12">COUNTA(P11:AS11)</f>
        <v>1</v>
      </c>
      <c r="L11" s="2">
        <f t="shared" ref="L11" si="13">COUNTA(Q11:AT11)</f>
        <v>1</v>
      </c>
      <c r="M11" s="2" cm="1">
        <f t="array" ref="M11">MATCH(TRUE,P11:AD11&lt;&gt;"",0)-1</f>
        <v>7</v>
      </c>
      <c r="N11" s="11">
        <f t="shared" si="3"/>
        <v>8.3333333333333321</v>
      </c>
      <c r="O11" s="11" t="str">
        <f t="shared" si="4"/>
        <v>★★</v>
      </c>
      <c r="W11" s="1" t="s">
        <v>354</v>
      </c>
    </row>
    <row r="12" spans="1:32">
      <c r="A12" s="17" t="s">
        <v>0</v>
      </c>
      <c r="B12" s="17" t="s">
        <v>597</v>
      </c>
      <c r="C12" s="17" t="s">
        <v>2</v>
      </c>
      <c r="D12" s="1" t="s">
        <v>86</v>
      </c>
      <c r="F12" s="2">
        <f>SUM(K12:K16)</f>
        <v>11</v>
      </c>
      <c r="G12" s="18">
        <f t="shared" si="7"/>
        <v>11</v>
      </c>
      <c r="H12" s="1" t="s">
        <v>96</v>
      </c>
      <c r="I12" s="1" t="str">
        <f t="shared" si="2"/>
        <v>K011</v>
      </c>
      <c r="J12" s="4" t="s">
        <v>6</v>
      </c>
      <c r="K12" s="2">
        <f t="shared" si="0"/>
        <v>1</v>
      </c>
      <c r="L12" s="2">
        <f t="shared" si="1"/>
        <v>1</v>
      </c>
      <c r="M12" s="2" cm="1">
        <f t="array" ref="M12">MATCH(TRUE,P12:AD12&lt;&gt;"",0)-1</f>
        <v>1</v>
      </c>
      <c r="N12" s="11">
        <f t="shared" si="3"/>
        <v>8.3333333333333321</v>
      </c>
      <c r="O12" s="11" t="str">
        <f t="shared" si="4"/>
        <v>★★</v>
      </c>
      <c r="Q12" s="1" t="s">
        <v>17</v>
      </c>
    </row>
    <row r="13" spans="1:32">
      <c r="A13" s="17" t="s">
        <v>0</v>
      </c>
      <c r="B13" s="17" t="s">
        <v>597</v>
      </c>
      <c r="C13" s="17" t="s">
        <v>2</v>
      </c>
      <c r="G13" s="18">
        <f t="shared" si="7"/>
        <v>12</v>
      </c>
      <c r="H13" s="1" t="s">
        <v>116</v>
      </c>
      <c r="I13" s="1" t="str">
        <f t="shared" si="2"/>
        <v>K012</v>
      </c>
      <c r="J13" s="4" t="s">
        <v>6</v>
      </c>
      <c r="K13" s="2">
        <f t="shared" si="0"/>
        <v>4</v>
      </c>
      <c r="L13" s="2">
        <f t="shared" si="1"/>
        <v>3</v>
      </c>
      <c r="M13" s="2" cm="1">
        <f t="array" ref="M13">MATCH(TRUE,P13:AD13&lt;&gt;"",0)-1</f>
        <v>0</v>
      </c>
      <c r="N13" s="11">
        <f t="shared" si="3"/>
        <v>25</v>
      </c>
      <c r="O13" s="11" t="str">
        <f t="shared" si="4"/>
        <v>★★★★</v>
      </c>
      <c r="P13" s="1" t="s">
        <v>113</v>
      </c>
      <c r="U13" s="1" t="s">
        <v>263</v>
      </c>
      <c r="Z13" s="1" t="s">
        <v>488</v>
      </c>
      <c r="AB13" s="1" t="s">
        <v>546</v>
      </c>
    </row>
    <row r="14" spans="1:32">
      <c r="A14" s="17" t="s">
        <v>0</v>
      </c>
      <c r="B14" s="17" t="s">
        <v>597</v>
      </c>
      <c r="C14" s="17" t="s">
        <v>2</v>
      </c>
      <c r="G14" s="18">
        <f t="shared" si="7"/>
        <v>13</v>
      </c>
      <c r="H14" s="1" t="s">
        <v>207</v>
      </c>
      <c r="I14" s="1" t="str">
        <f t="shared" si="2"/>
        <v>K013</v>
      </c>
      <c r="J14" s="4" t="s">
        <v>6</v>
      </c>
      <c r="K14" s="2">
        <f t="shared" si="0"/>
        <v>1</v>
      </c>
      <c r="L14" s="2">
        <f t="shared" si="1"/>
        <v>1</v>
      </c>
      <c r="M14" s="2" cm="1">
        <f t="array" ref="M14">MATCH(TRUE,P14:AD14&lt;&gt;"",0)-1</f>
        <v>4</v>
      </c>
      <c r="N14" s="11">
        <f t="shared" si="3"/>
        <v>8.3333333333333321</v>
      </c>
      <c r="O14" s="11" t="str">
        <f t="shared" si="4"/>
        <v>★★</v>
      </c>
      <c r="T14" s="1" t="s">
        <v>208</v>
      </c>
    </row>
    <row r="15" spans="1:32">
      <c r="A15" s="17" t="s">
        <v>0</v>
      </c>
      <c r="B15" s="17" t="s">
        <v>597</v>
      </c>
      <c r="C15" s="17" t="s">
        <v>2</v>
      </c>
      <c r="G15" s="18">
        <f t="shared" si="7"/>
        <v>14</v>
      </c>
      <c r="H15" s="1" t="s">
        <v>305</v>
      </c>
      <c r="I15" s="1" t="str">
        <f t="shared" si="2"/>
        <v>K014</v>
      </c>
      <c r="J15" s="3" t="s">
        <v>5</v>
      </c>
      <c r="K15" s="2">
        <f>COUNTA(P15:AS15)</f>
        <v>1</v>
      </c>
      <c r="L15" s="2">
        <f>COUNTA(Q15:AT15)</f>
        <v>1</v>
      </c>
      <c r="M15" s="2" cm="1">
        <f t="array" ref="M15">MATCH(TRUE,P15:AD15&lt;&gt;"",0)-1</f>
        <v>5</v>
      </c>
      <c r="N15" s="11">
        <f t="shared" si="3"/>
        <v>8.3333333333333321</v>
      </c>
      <c r="O15" s="11" t="str">
        <f t="shared" si="4"/>
        <v>★★</v>
      </c>
      <c r="U15" s="1" t="s">
        <v>251</v>
      </c>
    </row>
    <row r="16" spans="1:32">
      <c r="A16" s="17" t="s">
        <v>0</v>
      </c>
      <c r="B16" s="17" t="s">
        <v>597</v>
      </c>
      <c r="C16" s="17" t="s">
        <v>2</v>
      </c>
      <c r="G16" s="18">
        <f t="shared" si="7"/>
        <v>15</v>
      </c>
      <c r="H16" s="1" t="s">
        <v>452</v>
      </c>
      <c r="I16" s="1" t="str">
        <f t="shared" si="2"/>
        <v>K015</v>
      </c>
      <c r="J16" s="4" t="s">
        <v>6</v>
      </c>
      <c r="K16" s="2">
        <f t="shared" ref="K16:K18" si="14">COUNTA(P16:AS16)</f>
        <v>4</v>
      </c>
      <c r="L16" s="2">
        <f t="shared" ref="L16:L18" si="15">COUNTA(Q16:AT16)</f>
        <v>4</v>
      </c>
      <c r="M16" s="2" cm="1">
        <f t="array" ref="M16">MATCH(TRUE,P16:AD16&lt;&gt;"",0)-1</f>
        <v>6</v>
      </c>
      <c r="N16" s="11">
        <f t="shared" si="3"/>
        <v>25</v>
      </c>
      <c r="O16" s="11" t="str">
        <f t="shared" si="4"/>
        <v>★★★★</v>
      </c>
      <c r="V16" s="1" t="s">
        <v>316</v>
      </c>
      <c r="Y16" s="1" t="s">
        <v>451</v>
      </c>
      <c r="AA16" s="1" t="s">
        <v>488</v>
      </c>
      <c r="AC16" s="1" t="s">
        <v>545</v>
      </c>
    </row>
    <row r="17" spans="1:32">
      <c r="A17" s="17" t="s">
        <v>0</v>
      </c>
      <c r="B17" s="17" t="s">
        <v>597</v>
      </c>
      <c r="C17" s="17" t="s">
        <v>2</v>
      </c>
      <c r="D17" s="1" t="s">
        <v>479</v>
      </c>
      <c r="F17" s="2">
        <f>SUM(K17:K22)</f>
        <v>13</v>
      </c>
      <c r="G17" s="18">
        <f t="shared" si="7"/>
        <v>16</v>
      </c>
      <c r="H17" s="1" t="s">
        <v>81</v>
      </c>
      <c r="I17" s="1" t="str">
        <f t="shared" si="2"/>
        <v>K016</v>
      </c>
      <c r="J17" s="3" t="s">
        <v>5</v>
      </c>
      <c r="K17" s="2">
        <f t="shared" si="14"/>
        <v>2</v>
      </c>
      <c r="L17" s="2">
        <f t="shared" si="15"/>
        <v>2</v>
      </c>
      <c r="M17" s="2" cm="1">
        <f t="array" ref="M17">MATCH(TRUE,P17:AD17&lt;&gt;"",0)-1</f>
        <v>3</v>
      </c>
      <c r="N17" s="11">
        <f t="shared" si="3"/>
        <v>16.666666666666664</v>
      </c>
      <c r="O17" s="11" t="str">
        <f t="shared" si="4"/>
        <v>★★★</v>
      </c>
      <c r="S17" s="1" t="s">
        <v>43</v>
      </c>
      <c r="X17" s="1" t="s">
        <v>423</v>
      </c>
    </row>
    <row r="18" spans="1:32">
      <c r="A18" s="17" t="s">
        <v>0</v>
      </c>
      <c r="B18" s="17" t="s">
        <v>597</v>
      </c>
      <c r="C18" s="17" t="s">
        <v>2</v>
      </c>
      <c r="G18" s="18">
        <f t="shared" si="7"/>
        <v>17</v>
      </c>
      <c r="H18" s="1" t="s">
        <v>583</v>
      </c>
      <c r="I18" s="1" t="str">
        <f t="shared" si="2"/>
        <v>K017</v>
      </c>
      <c r="J18" s="3" t="s">
        <v>5</v>
      </c>
      <c r="K18" s="2">
        <f t="shared" si="14"/>
        <v>1</v>
      </c>
      <c r="L18" s="2">
        <f t="shared" si="15"/>
        <v>1</v>
      </c>
      <c r="M18" s="2" cm="1">
        <f t="array" ref="M18">MATCH(TRUE,P18:AD18&lt;&gt;"",0)-1</f>
        <v>13</v>
      </c>
      <c r="N18" s="11">
        <f t="shared" si="3"/>
        <v>0</v>
      </c>
      <c r="O18" s="11" t="str">
        <f t="shared" si="4"/>
        <v>★</v>
      </c>
      <c r="AC18" s="1" t="s">
        <v>544</v>
      </c>
    </row>
    <row r="19" spans="1:32">
      <c r="A19" s="17" t="s">
        <v>0</v>
      </c>
      <c r="B19" s="17" t="s">
        <v>597</v>
      </c>
      <c r="C19" s="17" t="s">
        <v>2</v>
      </c>
      <c r="G19" s="18">
        <f t="shared" si="7"/>
        <v>18</v>
      </c>
      <c r="H19" s="1" t="s">
        <v>478</v>
      </c>
      <c r="I19" s="1" t="str">
        <f t="shared" si="2"/>
        <v>K018</v>
      </c>
      <c r="J19" s="3" t="s">
        <v>5</v>
      </c>
      <c r="K19" s="2">
        <f t="shared" ref="K19" si="16">COUNTA(P19:AS19)</f>
        <v>1</v>
      </c>
      <c r="L19" s="2">
        <f t="shared" ref="L19" si="17">COUNTA(Q19:AT19)</f>
        <v>1</v>
      </c>
      <c r="M19" s="2" cm="1">
        <f t="array" ref="M19">MATCH(TRUE,P19:AD19&lt;&gt;"",0)-1</f>
        <v>9</v>
      </c>
      <c r="N19" s="11">
        <f t="shared" si="3"/>
        <v>8.3333333333333321</v>
      </c>
      <c r="O19" s="11" t="str">
        <f t="shared" si="4"/>
        <v>★★</v>
      </c>
      <c r="Y19" s="1" t="s">
        <v>477</v>
      </c>
    </row>
    <row r="20" spans="1:32">
      <c r="A20" s="17" t="s">
        <v>0</v>
      </c>
      <c r="B20" s="17" t="s">
        <v>597</v>
      </c>
      <c r="C20" s="17" t="s">
        <v>2</v>
      </c>
      <c r="G20" s="18">
        <f t="shared" si="7"/>
        <v>19</v>
      </c>
      <c r="H20" s="1" t="s">
        <v>523</v>
      </c>
      <c r="I20" s="1" t="str">
        <f t="shared" si="2"/>
        <v>K019</v>
      </c>
      <c r="J20" s="3" t="s">
        <v>5</v>
      </c>
      <c r="K20" s="2">
        <f t="shared" ref="K20" si="18">COUNTA(P20:AS20)</f>
        <v>1</v>
      </c>
      <c r="L20" s="2">
        <f t="shared" ref="L20" si="19">COUNTA(Q20:AT20)</f>
        <v>1</v>
      </c>
      <c r="M20" s="2" cm="1">
        <f t="array" ref="M20">MATCH(TRUE,P20:AD20&lt;&gt;"",0)-1</f>
        <v>10</v>
      </c>
      <c r="N20" s="11">
        <f t="shared" si="3"/>
        <v>8.3333333333333321</v>
      </c>
      <c r="O20" s="11" t="str">
        <f t="shared" si="4"/>
        <v>★★</v>
      </c>
      <c r="Z20" s="1" t="s">
        <v>524</v>
      </c>
    </row>
    <row r="21" spans="1:32">
      <c r="A21" s="17" t="s">
        <v>0</v>
      </c>
      <c r="B21" s="17" t="s">
        <v>597</v>
      </c>
      <c r="C21" s="17" t="s">
        <v>2</v>
      </c>
      <c r="G21" s="18">
        <f t="shared" si="7"/>
        <v>20</v>
      </c>
      <c r="H21" s="1" t="s">
        <v>609</v>
      </c>
      <c r="I21" s="1" t="str">
        <f t="shared" si="2"/>
        <v>K020</v>
      </c>
      <c r="J21" s="3" t="s">
        <v>5</v>
      </c>
      <c r="K21" s="2">
        <f t="shared" ref="K21:L27" si="20">COUNTA(P21:AS21)</f>
        <v>6</v>
      </c>
      <c r="L21" s="2">
        <f t="shared" si="20"/>
        <v>5</v>
      </c>
      <c r="M21" s="2" cm="1">
        <f t="array" ref="M21">MATCH(TRUE,P21:AD21&lt;&gt;"",0)-1</f>
        <v>0</v>
      </c>
      <c r="N21" s="11">
        <f t="shared" si="3"/>
        <v>33.333333333333329</v>
      </c>
      <c r="O21" s="11" t="str">
        <f t="shared" si="4"/>
        <v>★★★★★</v>
      </c>
      <c r="P21" s="1" t="s">
        <v>43</v>
      </c>
      <c r="Q21" s="1" t="s">
        <v>43</v>
      </c>
      <c r="W21" s="1" t="s">
        <v>387</v>
      </c>
      <c r="X21" s="1" t="s">
        <v>395</v>
      </c>
      <c r="AA21" s="1" t="s">
        <v>524</v>
      </c>
      <c r="AF21" s="1" t="s">
        <v>608</v>
      </c>
    </row>
    <row r="22" spans="1:32">
      <c r="A22" s="17" t="s">
        <v>0</v>
      </c>
      <c r="B22" s="17" t="s">
        <v>597</v>
      </c>
      <c r="C22" s="17" t="s">
        <v>2</v>
      </c>
      <c r="G22" s="18">
        <f t="shared" si="7"/>
        <v>21</v>
      </c>
      <c r="H22" s="1" t="s">
        <v>532</v>
      </c>
      <c r="I22" s="1" t="str">
        <f t="shared" si="2"/>
        <v>K021</v>
      </c>
      <c r="J22" s="5" t="s">
        <v>80</v>
      </c>
      <c r="K22" s="2">
        <f t="shared" si="20"/>
        <v>2</v>
      </c>
      <c r="L22" s="2">
        <f t="shared" si="20"/>
        <v>2</v>
      </c>
      <c r="M22" s="2" cm="1">
        <f t="array" ref="M22">MATCH(TRUE,P22:AD22&lt;&gt;"",0)-1</f>
        <v>6</v>
      </c>
      <c r="N22" s="11">
        <f t="shared" si="3"/>
        <v>16.666666666666664</v>
      </c>
      <c r="O22" s="11" t="str">
        <f t="shared" si="4"/>
        <v>★★★</v>
      </c>
      <c r="V22" s="1" t="s">
        <v>314</v>
      </c>
      <c r="AA22" s="1" t="s">
        <v>487</v>
      </c>
    </row>
    <row r="23" spans="1:32">
      <c r="A23" s="17" t="s">
        <v>0</v>
      </c>
      <c r="B23" s="17" t="s">
        <v>597</v>
      </c>
      <c r="C23" s="17" t="s">
        <v>2</v>
      </c>
      <c r="D23" s="1" t="s">
        <v>87</v>
      </c>
      <c r="F23" s="2">
        <f>SUM(K23:K25)</f>
        <v>5</v>
      </c>
      <c r="G23" s="18">
        <f t="shared" si="7"/>
        <v>22</v>
      </c>
      <c r="H23" s="1" t="s">
        <v>52</v>
      </c>
      <c r="I23" s="1" t="str">
        <f t="shared" si="2"/>
        <v>K022</v>
      </c>
      <c r="J23" s="4" t="s">
        <v>6</v>
      </c>
      <c r="K23" s="2">
        <f t="shared" si="20"/>
        <v>2</v>
      </c>
      <c r="L23" s="2">
        <f t="shared" si="20"/>
        <v>2</v>
      </c>
      <c r="M23" s="2" cm="1">
        <f t="array" ref="M23">MATCH(TRUE,P23:AD23&lt;&gt;"",0)-1</f>
        <v>2</v>
      </c>
      <c r="N23" s="11">
        <f t="shared" si="3"/>
        <v>16.666666666666664</v>
      </c>
      <c r="O23" s="11" t="str">
        <f t="shared" si="4"/>
        <v>★★★</v>
      </c>
      <c r="R23" s="1" t="s">
        <v>53</v>
      </c>
      <c r="X23" s="1" t="s">
        <v>398</v>
      </c>
    </row>
    <row r="24" spans="1:32">
      <c r="A24" s="17" t="s">
        <v>0</v>
      </c>
      <c r="B24" s="17" t="s">
        <v>597</v>
      </c>
      <c r="C24" s="17" t="s">
        <v>2</v>
      </c>
      <c r="G24" s="18">
        <f t="shared" si="7"/>
        <v>23</v>
      </c>
      <c r="H24" s="1" t="s">
        <v>212</v>
      </c>
      <c r="I24" s="1" t="str">
        <f t="shared" si="2"/>
        <v>K023</v>
      </c>
      <c r="J24" s="4" t="s">
        <v>6</v>
      </c>
      <c r="K24" s="2">
        <f t="shared" si="20"/>
        <v>1</v>
      </c>
      <c r="L24" s="2">
        <f t="shared" si="20"/>
        <v>1</v>
      </c>
      <c r="M24" s="2" cm="1">
        <f t="array" ref="M24">MATCH(TRUE,P24:AD24&lt;&gt;"",0)-1</f>
        <v>4</v>
      </c>
      <c r="N24" s="11">
        <f t="shared" si="3"/>
        <v>8.3333333333333321</v>
      </c>
      <c r="O24" s="11" t="str">
        <f t="shared" si="4"/>
        <v>★★</v>
      </c>
      <c r="T24" s="1" t="s">
        <v>211</v>
      </c>
    </row>
    <row r="25" spans="1:32">
      <c r="A25" s="17" t="s">
        <v>0</v>
      </c>
      <c r="B25" s="17" t="s">
        <v>597</v>
      </c>
      <c r="C25" s="17" t="s">
        <v>2</v>
      </c>
      <c r="G25" s="18">
        <f t="shared" si="7"/>
        <v>24</v>
      </c>
      <c r="H25" s="1" t="s">
        <v>351</v>
      </c>
      <c r="I25" s="1" t="str">
        <f t="shared" si="2"/>
        <v>K024</v>
      </c>
      <c r="J25" s="3" t="s">
        <v>5</v>
      </c>
      <c r="K25" s="2">
        <f t="shared" si="20"/>
        <v>2</v>
      </c>
      <c r="L25" s="2">
        <f t="shared" si="20"/>
        <v>2</v>
      </c>
      <c r="M25" s="2" cm="1">
        <f t="array" ref="M25">MATCH(TRUE,P25:AD25&lt;&gt;"",0)-1</f>
        <v>6</v>
      </c>
      <c r="N25" s="11">
        <f t="shared" si="3"/>
        <v>16.666666666666664</v>
      </c>
      <c r="O25" s="11" t="str">
        <f t="shared" si="4"/>
        <v>★★★</v>
      </c>
      <c r="V25" s="1" t="s">
        <v>352</v>
      </c>
      <c r="AB25" s="1" t="s">
        <v>576</v>
      </c>
    </row>
    <row r="26" spans="1:32">
      <c r="A26" s="17" t="s">
        <v>0</v>
      </c>
      <c r="B26" s="17" t="s">
        <v>597</v>
      </c>
      <c r="C26" s="1" t="s">
        <v>91</v>
      </c>
      <c r="D26" s="1" t="s">
        <v>453</v>
      </c>
      <c r="F26" s="2">
        <f>SUM(K26:K30)</f>
        <v>9</v>
      </c>
      <c r="G26" s="18">
        <f t="shared" si="7"/>
        <v>25</v>
      </c>
      <c r="H26" s="1" t="s">
        <v>92</v>
      </c>
      <c r="I26" s="1" t="str">
        <f t="shared" si="2"/>
        <v>K025</v>
      </c>
      <c r="J26" s="3" t="s">
        <v>5</v>
      </c>
      <c r="K26" s="2">
        <f t="shared" si="20"/>
        <v>1</v>
      </c>
      <c r="L26" s="2">
        <f t="shared" si="20"/>
        <v>1</v>
      </c>
      <c r="M26" s="2" cm="1">
        <f t="array" ref="M26">MATCH(TRUE,P26:AD26&lt;&gt;"",0)-1</f>
        <v>1</v>
      </c>
      <c r="N26" s="11">
        <f t="shared" si="3"/>
        <v>8.3333333333333321</v>
      </c>
      <c r="O26" s="11" t="str">
        <f t="shared" si="4"/>
        <v>★★</v>
      </c>
      <c r="Q26" s="1" t="s">
        <v>16</v>
      </c>
    </row>
    <row r="27" spans="1:32">
      <c r="A27" s="17" t="s">
        <v>0</v>
      </c>
      <c r="B27" s="17" t="s">
        <v>597</v>
      </c>
      <c r="C27" s="17" t="s">
        <v>91</v>
      </c>
      <c r="G27" s="18">
        <f t="shared" si="7"/>
        <v>26</v>
      </c>
      <c r="H27" s="1" t="s">
        <v>76</v>
      </c>
      <c r="I27" s="1" t="str">
        <f t="shared" si="2"/>
        <v>K026</v>
      </c>
      <c r="J27" s="3" t="s">
        <v>5</v>
      </c>
      <c r="K27" s="2">
        <f t="shared" si="20"/>
        <v>3</v>
      </c>
      <c r="L27" s="2">
        <f t="shared" si="20"/>
        <v>3</v>
      </c>
      <c r="M27" s="2" cm="1">
        <f t="array" ref="M27">MATCH(TRUE,P27:AD27&lt;&gt;"",0)-1</f>
        <v>3</v>
      </c>
      <c r="N27" s="11">
        <f t="shared" si="3"/>
        <v>25</v>
      </c>
      <c r="O27" s="11" t="str">
        <f t="shared" si="4"/>
        <v>★★★★</v>
      </c>
      <c r="S27" s="1" t="s">
        <v>54</v>
      </c>
      <c r="AA27" s="1" t="s">
        <v>489</v>
      </c>
      <c r="AB27" s="1" t="s">
        <v>547</v>
      </c>
    </row>
    <row r="28" spans="1:32">
      <c r="A28" s="17" t="s">
        <v>0</v>
      </c>
      <c r="B28" s="17" t="s">
        <v>597</v>
      </c>
      <c r="C28" s="17" t="s">
        <v>91</v>
      </c>
      <c r="G28" s="18">
        <f t="shared" si="7"/>
        <v>27</v>
      </c>
      <c r="H28" s="1" t="s">
        <v>210</v>
      </c>
      <c r="I28" s="1" t="str">
        <f t="shared" si="2"/>
        <v>K027</v>
      </c>
      <c r="J28" s="4" t="s">
        <v>6</v>
      </c>
      <c r="K28" s="2">
        <f t="shared" ref="K28:K44" si="21">COUNTA(P28:AS28)</f>
        <v>1</v>
      </c>
      <c r="L28" s="2">
        <f t="shared" ref="L28:L44" si="22">COUNTA(Q28:AT28)</f>
        <v>1</v>
      </c>
      <c r="M28" s="2" cm="1">
        <f t="array" ref="M28">MATCH(TRUE,P28:AD28&lt;&gt;"",0)-1</f>
        <v>4</v>
      </c>
      <c r="N28" s="11">
        <f t="shared" si="3"/>
        <v>8.3333333333333321</v>
      </c>
      <c r="O28" s="11" t="str">
        <f t="shared" si="4"/>
        <v>★★</v>
      </c>
      <c r="T28" s="1" t="s">
        <v>209</v>
      </c>
    </row>
    <row r="29" spans="1:32">
      <c r="A29" s="17" t="s">
        <v>0</v>
      </c>
      <c r="B29" s="17" t="s">
        <v>597</v>
      </c>
      <c r="C29" s="17" t="s">
        <v>91</v>
      </c>
      <c r="G29" s="18">
        <f t="shared" si="7"/>
        <v>28</v>
      </c>
      <c r="H29" s="1" t="s">
        <v>176</v>
      </c>
      <c r="I29" s="1" t="str">
        <f t="shared" si="2"/>
        <v>K028</v>
      </c>
      <c r="J29" s="4" t="s">
        <v>6</v>
      </c>
      <c r="K29" s="2">
        <f t="shared" ref="K29:L31" si="23">COUNTA(P29:AS29)</f>
        <v>2</v>
      </c>
      <c r="L29" s="2">
        <f t="shared" si="23"/>
        <v>2</v>
      </c>
      <c r="M29" s="2" cm="1">
        <f t="array" ref="M29">MATCH(TRUE,P29:AD29&lt;&gt;"",0)-1</f>
        <v>2</v>
      </c>
      <c r="N29" s="11">
        <f t="shared" si="3"/>
        <v>16.666666666666664</v>
      </c>
      <c r="O29" s="11" t="str">
        <f t="shared" si="4"/>
        <v>★★★</v>
      </c>
      <c r="R29" s="1" t="s">
        <v>57</v>
      </c>
      <c r="V29" s="1" t="s">
        <v>322</v>
      </c>
    </row>
    <row r="30" spans="1:32">
      <c r="A30" s="17" t="s">
        <v>0</v>
      </c>
      <c r="B30" s="17" t="s">
        <v>597</v>
      </c>
      <c r="C30" s="17" t="s">
        <v>91</v>
      </c>
      <c r="G30" s="18">
        <f t="shared" si="7"/>
        <v>29</v>
      </c>
      <c r="H30" s="1" t="s">
        <v>365</v>
      </c>
      <c r="I30" s="1" t="str">
        <f t="shared" si="2"/>
        <v>K029</v>
      </c>
      <c r="J30" s="3" t="s">
        <v>5</v>
      </c>
      <c r="K30" s="2">
        <f t="shared" si="23"/>
        <v>2</v>
      </c>
      <c r="L30" s="2">
        <f t="shared" si="23"/>
        <v>2</v>
      </c>
      <c r="M30" s="2" cm="1">
        <f t="array" ref="M30">MATCH(TRUE,P30:AD30&lt;&gt;"",0)-1</f>
        <v>7</v>
      </c>
      <c r="N30" s="11">
        <f t="shared" si="3"/>
        <v>16.666666666666664</v>
      </c>
      <c r="O30" s="11" t="str">
        <f t="shared" si="4"/>
        <v>★★★</v>
      </c>
      <c r="W30" s="1" t="s">
        <v>366</v>
      </c>
      <c r="AB30" s="1" t="s">
        <v>553</v>
      </c>
    </row>
    <row r="31" spans="1:32">
      <c r="A31" s="17" t="s">
        <v>0</v>
      </c>
      <c r="B31" s="17" t="s">
        <v>597</v>
      </c>
      <c r="C31" s="17" t="s">
        <v>91</v>
      </c>
      <c r="G31" s="18">
        <f t="shared" si="7"/>
        <v>30</v>
      </c>
      <c r="H31" s="1" t="s">
        <v>455</v>
      </c>
      <c r="I31" s="1" t="str">
        <f t="shared" si="2"/>
        <v>K030</v>
      </c>
      <c r="J31" s="4" t="s">
        <v>6</v>
      </c>
      <c r="K31" s="2">
        <f t="shared" si="23"/>
        <v>1</v>
      </c>
      <c r="L31" s="2">
        <f t="shared" si="23"/>
        <v>1</v>
      </c>
      <c r="M31" s="2" cm="1">
        <f t="array" ref="M31">MATCH(TRUE,P31:AD31&lt;&gt;"",0)-1</f>
        <v>9</v>
      </c>
      <c r="N31" s="11">
        <f t="shared" si="3"/>
        <v>8.3333333333333321</v>
      </c>
      <c r="O31" s="11" t="str">
        <f t="shared" si="4"/>
        <v>★★</v>
      </c>
      <c r="Y31" s="1" t="s">
        <v>456</v>
      </c>
    </row>
    <row r="32" spans="1:32">
      <c r="A32" s="17" t="s">
        <v>0</v>
      </c>
      <c r="B32" s="17" t="s">
        <v>597</v>
      </c>
      <c r="C32" s="17" t="s">
        <v>91</v>
      </c>
      <c r="G32" s="18">
        <f t="shared" si="7"/>
        <v>31</v>
      </c>
      <c r="H32" s="1" t="s">
        <v>503</v>
      </c>
      <c r="I32" s="1" t="str">
        <f t="shared" si="2"/>
        <v>K031</v>
      </c>
      <c r="J32" s="3" t="s">
        <v>5</v>
      </c>
      <c r="K32" s="2">
        <f t="shared" ref="K32" si="24">COUNTA(P32:AS32)</f>
        <v>1</v>
      </c>
      <c r="L32" s="2">
        <f t="shared" ref="L32" si="25">COUNTA(Q32:AT32)</f>
        <v>1</v>
      </c>
      <c r="M32" s="2" cm="1">
        <f t="array" ref="M32">MATCH(TRUE,P32:AD32&lt;&gt;"",0)-1</f>
        <v>10</v>
      </c>
      <c r="N32" s="11">
        <f t="shared" si="3"/>
        <v>8.3333333333333321</v>
      </c>
      <c r="O32" s="11" t="str">
        <f t="shared" si="4"/>
        <v>★★</v>
      </c>
      <c r="Z32" s="1" t="s">
        <v>54</v>
      </c>
    </row>
    <row r="33" spans="1:29">
      <c r="A33" s="17" t="s">
        <v>0</v>
      </c>
      <c r="B33" s="17" t="s">
        <v>597</v>
      </c>
      <c r="C33" s="17" t="s">
        <v>91</v>
      </c>
      <c r="G33" s="18">
        <f t="shared" si="7"/>
        <v>32</v>
      </c>
      <c r="H33" s="1" t="s">
        <v>581</v>
      </c>
      <c r="I33" s="1" t="str">
        <f t="shared" si="2"/>
        <v>K032</v>
      </c>
      <c r="J33" s="3" t="s">
        <v>5</v>
      </c>
      <c r="K33" s="2">
        <f t="shared" ref="K33" si="26">COUNTA(P33:AS33)</f>
        <v>1</v>
      </c>
      <c r="L33" s="2">
        <f t="shared" ref="L33" si="27">COUNTA(Q33:AT33)</f>
        <v>1</v>
      </c>
      <c r="M33" s="2" cm="1">
        <f t="array" ref="M33">MATCH(TRUE,P33:AD33&lt;&gt;"",0)-1</f>
        <v>13</v>
      </c>
      <c r="N33" s="11">
        <f t="shared" si="3"/>
        <v>0</v>
      </c>
      <c r="O33" s="11" t="str">
        <f t="shared" si="4"/>
        <v>★</v>
      </c>
      <c r="AC33" s="1" t="s">
        <v>551</v>
      </c>
    </row>
    <row r="34" spans="1:29">
      <c r="A34" s="17" t="s">
        <v>0</v>
      </c>
      <c r="B34" s="17" t="s">
        <v>597</v>
      </c>
      <c r="C34" s="17" t="s">
        <v>91</v>
      </c>
      <c r="D34" s="1" t="s">
        <v>265</v>
      </c>
      <c r="F34" s="2">
        <f>SUM(K34:K36)</f>
        <v>5</v>
      </c>
      <c r="G34" s="18">
        <f t="shared" si="7"/>
        <v>33</v>
      </c>
      <c r="H34" s="1" t="s">
        <v>173</v>
      </c>
      <c r="I34" s="1" t="str">
        <f t="shared" si="2"/>
        <v>K033</v>
      </c>
      <c r="J34" s="4" t="s">
        <v>6</v>
      </c>
      <c r="K34" s="2">
        <f t="shared" si="21"/>
        <v>2</v>
      </c>
      <c r="L34" s="2">
        <f t="shared" si="22"/>
        <v>2</v>
      </c>
      <c r="M34" s="2" cm="1">
        <f t="array" ref="M34">MATCH(TRUE,P34:AD34&lt;&gt;"",0)-1</f>
        <v>2</v>
      </c>
      <c r="N34" s="11">
        <f t="shared" si="3"/>
        <v>16.666666666666664</v>
      </c>
      <c r="O34" s="11" t="str">
        <f t="shared" si="4"/>
        <v>★★★</v>
      </c>
      <c r="R34" s="1" t="s">
        <v>54</v>
      </c>
      <c r="W34" s="1" t="s">
        <v>359</v>
      </c>
    </row>
    <row r="35" spans="1:29">
      <c r="A35" s="17" t="s">
        <v>0</v>
      </c>
      <c r="B35" s="17" t="s">
        <v>597</v>
      </c>
      <c r="C35" s="17" t="s">
        <v>91</v>
      </c>
      <c r="G35" s="18">
        <f t="shared" si="7"/>
        <v>34</v>
      </c>
      <c r="H35" s="1" t="s">
        <v>187</v>
      </c>
      <c r="I35" s="1" t="str">
        <f t="shared" si="2"/>
        <v>K034</v>
      </c>
      <c r="J35" s="4" t="s">
        <v>6</v>
      </c>
      <c r="K35" s="2">
        <f t="shared" si="21"/>
        <v>2</v>
      </c>
      <c r="L35" s="2">
        <f t="shared" si="22"/>
        <v>2</v>
      </c>
      <c r="M35" s="2" cm="1">
        <f t="array" ref="M35">MATCH(TRUE,P35:AD35&lt;&gt;"",0)-1</f>
        <v>3</v>
      </c>
      <c r="N35" s="11">
        <f t="shared" si="3"/>
        <v>16.666666666666664</v>
      </c>
      <c r="O35" s="11" t="str">
        <f t="shared" si="4"/>
        <v>★★★</v>
      </c>
      <c r="S35" s="1" t="s">
        <v>50</v>
      </c>
      <c r="W35" s="1" t="s">
        <v>357</v>
      </c>
    </row>
    <row r="36" spans="1:29">
      <c r="A36" s="17" t="s">
        <v>0</v>
      </c>
      <c r="B36" s="17" t="s">
        <v>597</v>
      </c>
      <c r="C36" s="17" t="s">
        <v>91</v>
      </c>
      <c r="G36" s="18">
        <f t="shared" si="7"/>
        <v>35</v>
      </c>
      <c r="H36" s="1" t="s">
        <v>397</v>
      </c>
      <c r="I36" s="1" t="str">
        <f t="shared" si="2"/>
        <v>K035</v>
      </c>
      <c r="J36" s="4" t="s">
        <v>6</v>
      </c>
      <c r="K36" s="2">
        <f t="shared" ref="K36" si="28">COUNTA(P36:AS36)</f>
        <v>1</v>
      </c>
      <c r="L36" s="2">
        <f t="shared" ref="L36" si="29">COUNTA(Q36:AT36)</f>
        <v>1</v>
      </c>
      <c r="M36" s="2" cm="1">
        <f t="array" ref="M36">MATCH(TRUE,P36:AD36&lt;&gt;"",0)-1</f>
        <v>8</v>
      </c>
      <c r="N36" s="11">
        <f t="shared" si="3"/>
        <v>8.3333333333333321</v>
      </c>
      <c r="O36" s="11" t="str">
        <f t="shared" si="4"/>
        <v>★★</v>
      </c>
      <c r="X36" s="1" t="s">
        <v>396</v>
      </c>
    </row>
    <row r="37" spans="1:29">
      <c r="A37" s="17" t="s">
        <v>0</v>
      </c>
      <c r="B37" s="17" t="s">
        <v>597</v>
      </c>
      <c r="C37" s="17" t="s">
        <v>91</v>
      </c>
      <c r="D37" s="1" t="s">
        <v>114</v>
      </c>
      <c r="F37" s="2">
        <f>SUM(K37:K40)</f>
        <v>14</v>
      </c>
      <c r="G37" s="18">
        <f t="shared" si="7"/>
        <v>36</v>
      </c>
      <c r="H37" s="1" t="s">
        <v>115</v>
      </c>
      <c r="I37" s="1" t="str">
        <f t="shared" si="2"/>
        <v>K036</v>
      </c>
      <c r="J37" s="3" t="s">
        <v>5</v>
      </c>
      <c r="K37" s="2">
        <f t="shared" si="21"/>
        <v>4</v>
      </c>
      <c r="L37" s="2">
        <f t="shared" si="22"/>
        <v>3</v>
      </c>
      <c r="M37" s="2" cm="1">
        <f t="array" ref="M37">MATCH(TRUE,P37:AD37&lt;&gt;"",0)-1</f>
        <v>0</v>
      </c>
      <c r="N37" s="11">
        <f t="shared" si="3"/>
        <v>25</v>
      </c>
      <c r="O37" s="11" t="str">
        <f t="shared" si="4"/>
        <v>★★★★</v>
      </c>
      <c r="P37" s="1" t="s">
        <v>117</v>
      </c>
      <c r="S37" s="1" t="s">
        <v>51</v>
      </c>
      <c r="X37" s="1" t="s">
        <v>399</v>
      </c>
      <c r="AB37" s="1" t="s">
        <v>545</v>
      </c>
    </row>
    <row r="38" spans="1:29">
      <c r="A38" s="17" t="s">
        <v>0</v>
      </c>
      <c r="B38" s="17" t="s">
        <v>597</v>
      </c>
      <c r="C38" s="17" t="s">
        <v>91</v>
      </c>
      <c r="G38" s="18">
        <f t="shared" si="7"/>
        <v>37</v>
      </c>
      <c r="H38" s="1" t="s">
        <v>111</v>
      </c>
      <c r="I38" s="1" t="str">
        <f t="shared" si="2"/>
        <v>K037</v>
      </c>
      <c r="J38" s="4" t="s">
        <v>6</v>
      </c>
      <c r="K38" s="2">
        <f t="shared" si="21"/>
        <v>4</v>
      </c>
      <c r="L38" s="2">
        <f t="shared" si="22"/>
        <v>3</v>
      </c>
      <c r="M38" s="2" cm="1">
        <f t="array" ref="M38">MATCH(TRUE,P38:AD38&lt;&gt;"",0)-1</f>
        <v>0</v>
      </c>
      <c r="N38" s="11">
        <f t="shared" si="3"/>
        <v>16.666666666666664</v>
      </c>
      <c r="O38" s="11" t="str">
        <f t="shared" si="4"/>
        <v>★★★</v>
      </c>
      <c r="P38" s="1" t="s">
        <v>112</v>
      </c>
      <c r="V38" s="10" t="s">
        <v>317</v>
      </c>
      <c r="W38" s="1" t="s">
        <v>358</v>
      </c>
      <c r="AC38" s="1" t="s">
        <v>547</v>
      </c>
    </row>
    <row r="39" spans="1:29">
      <c r="A39" s="17" t="s">
        <v>0</v>
      </c>
      <c r="B39" s="17" t="s">
        <v>597</v>
      </c>
      <c r="C39" s="17" t="s">
        <v>91</v>
      </c>
      <c r="G39" s="18">
        <f t="shared" si="7"/>
        <v>38</v>
      </c>
      <c r="H39" s="1" t="s">
        <v>172</v>
      </c>
      <c r="I39" s="1" t="str">
        <f t="shared" si="2"/>
        <v>K038</v>
      </c>
      <c r="J39" s="3" t="s">
        <v>5</v>
      </c>
      <c r="K39" s="2">
        <f t="shared" si="21"/>
        <v>4</v>
      </c>
      <c r="L39" s="2">
        <f t="shared" si="22"/>
        <v>4</v>
      </c>
      <c r="M39" s="2" cm="1">
        <f t="array" ref="M39">MATCH(TRUE,P39:AD39&lt;&gt;"",0)-1</f>
        <v>2</v>
      </c>
      <c r="N39" s="11">
        <f t="shared" si="3"/>
        <v>25</v>
      </c>
      <c r="O39" s="11" t="str">
        <f t="shared" si="4"/>
        <v>★★★★</v>
      </c>
      <c r="R39" s="1" t="s">
        <v>51</v>
      </c>
      <c r="V39" s="1" t="s">
        <v>315</v>
      </c>
      <c r="Y39" s="1" t="s">
        <v>444</v>
      </c>
      <c r="AC39" s="1" t="s">
        <v>546</v>
      </c>
    </row>
    <row r="40" spans="1:29">
      <c r="A40" s="17" t="s">
        <v>0</v>
      </c>
      <c r="B40" s="17" t="s">
        <v>597</v>
      </c>
      <c r="C40" s="17" t="s">
        <v>91</v>
      </c>
      <c r="G40" s="18">
        <f t="shared" si="7"/>
        <v>39</v>
      </c>
      <c r="H40" s="1" t="s">
        <v>363</v>
      </c>
      <c r="I40" s="1" t="str">
        <f t="shared" si="2"/>
        <v>K039</v>
      </c>
      <c r="J40" s="3" t="s">
        <v>5</v>
      </c>
      <c r="K40" s="2">
        <f t="shared" ref="K40" si="30">COUNTA(P40:AS40)</f>
        <v>2</v>
      </c>
      <c r="L40" s="2">
        <f t="shared" ref="L40" si="31">COUNTA(Q40:AT40)</f>
        <v>2</v>
      </c>
      <c r="M40" s="2" cm="1">
        <f t="array" ref="M40">MATCH(TRUE,P40:AD40&lt;&gt;"",0)-1</f>
        <v>7</v>
      </c>
      <c r="N40" s="11">
        <f t="shared" si="3"/>
        <v>8.3333333333333321</v>
      </c>
      <c r="O40" s="11" t="str">
        <f t="shared" si="4"/>
        <v>★★</v>
      </c>
      <c r="W40" s="1" t="s">
        <v>364</v>
      </c>
      <c r="AC40" s="1" t="s">
        <v>549</v>
      </c>
    </row>
    <row r="41" spans="1:29">
      <c r="A41" s="17" t="s">
        <v>0</v>
      </c>
      <c r="B41" s="17" t="s">
        <v>597</v>
      </c>
      <c r="C41" s="17" t="s">
        <v>91</v>
      </c>
      <c r="D41" s="1" t="s">
        <v>437</v>
      </c>
      <c r="F41" s="2">
        <f>SUM(K41:K42)</f>
        <v>4</v>
      </c>
      <c r="G41" s="18">
        <f t="shared" si="7"/>
        <v>40</v>
      </c>
      <c r="H41" s="1" t="s">
        <v>266</v>
      </c>
      <c r="I41" s="1" t="str">
        <f t="shared" si="2"/>
        <v>K040</v>
      </c>
      <c r="J41" s="3" t="s">
        <v>5</v>
      </c>
      <c r="K41" s="2">
        <f>COUNTA(P41:AS41)</f>
        <v>2</v>
      </c>
      <c r="L41" s="2">
        <f>COUNTA(Q41:AT41)</f>
        <v>2</v>
      </c>
      <c r="M41" s="2" cm="1">
        <f t="array" ref="M41">MATCH(TRUE,P41:AD41&lt;&gt;"",0)-1</f>
        <v>5</v>
      </c>
      <c r="N41" s="11">
        <f t="shared" si="3"/>
        <v>16.666666666666664</v>
      </c>
      <c r="O41" s="11" t="str">
        <f t="shared" si="4"/>
        <v>★★★</v>
      </c>
      <c r="U41" s="1" t="s">
        <v>262</v>
      </c>
      <c r="Z41" s="1" t="s">
        <v>489</v>
      </c>
    </row>
    <row r="42" spans="1:29">
      <c r="A42" s="17" t="s">
        <v>0</v>
      </c>
      <c r="B42" s="17" t="s">
        <v>597</v>
      </c>
      <c r="C42" s="17" t="s">
        <v>91</v>
      </c>
      <c r="G42" s="18">
        <f t="shared" si="7"/>
        <v>41</v>
      </c>
      <c r="H42" s="1" t="s">
        <v>436</v>
      </c>
      <c r="I42" s="1" t="str">
        <f t="shared" si="2"/>
        <v>K041</v>
      </c>
      <c r="J42" s="4" t="s">
        <v>6</v>
      </c>
      <c r="K42" s="2">
        <f t="shared" si="21"/>
        <v>2</v>
      </c>
      <c r="L42" s="2">
        <f t="shared" si="22"/>
        <v>2</v>
      </c>
      <c r="M42" s="2" cm="1">
        <f t="array" ref="M42">MATCH(TRUE,P42:AD42&lt;&gt;"",0)-1</f>
        <v>4</v>
      </c>
      <c r="N42" s="11">
        <f t="shared" si="3"/>
        <v>16.666666666666664</v>
      </c>
      <c r="O42" s="11" t="str">
        <f t="shared" si="4"/>
        <v>★★★</v>
      </c>
      <c r="T42" s="1" t="s">
        <v>213</v>
      </c>
      <c r="AA42" s="1" t="s">
        <v>490</v>
      </c>
    </row>
    <row r="43" spans="1:29">
      <c r="A43" s="17" t="s">
        <v>0</v>
      </c>
      <c r="B43" s="17" t="s">
        <v>597</v>
      </c>
      <c r="C43" s="17" t="s">
        <v>91</v>
      </c>
      <c r="G43" s="18">
        <f t="shared" si="7"/>
        <v>42</v>
      </c>
      <c r="H43" s="1" t="s">
        <v>454</v>
      </c>
      <c r="I43" s="1" t="str">
        <f t="shared" si="2"/>
        <v>K042</v>
      </c>
      <c r="J43" s="4" t="s">
        <v>6</v>
      </c>
      <c r="K43" s="2">
        <f>COUNTA(P43:AS43)</f>
        <v>2</v>
      </c>
      <c r="L43" s="2">
        <f>COUNTA(Q43:AT43)</f>
        <v>2</v>
      </c>
      <c r="M43" s="2" cm="1">
        <f t="array" ref="M43">MATCH(TRUE,P43:AD43&lt;&gt;"",0)-1</f>
        <v>5</v>
      </c>
      <c r="N43" s="11">
        <f t="shared" si="3"/>
        <v>16.666666666666664</v>
      </c>
      <c r="O43" s="11" t="str">
        <f t="shared" si="4"/>
        <v>★★★</v>
      </c>
      <c r="U43" s="1" t="s">
        <v>264</v>
      </c>
      <c r="Y43" s="1" t="s">
        <v>450</v>
      </c>
    </row>
    <row r="44" spans="1:29">
      <c r="A44" s="17" t="s">
        <v>0</v>
      </c>
      <c r="B44" s="17" t="s">
        <v>597</v>
      </c>
      <c r="C44" s="1" t="s">
        <v>88</v>
      </c>
      <c r="D44" s="1" t="s">
        <v>118</v>
      </c>
      <c r="E44" s="1" t="s">
        <v>221</v>
      </c>
      <c r="F44" s="2">
        <f>SUM(K44:K53)</f>
        <v>22</v>
      </c>
      <c r="G44" s="18">
        <f t="shared" si="7"/>
        <v>43</v>
      </c>
      <c r="H44" s="1" t="s">
        <v>185</v>
      </c>
      <c r="I44" s="1" t="str">
        <f t="shared" si="2"/>
        <v>K043</v>
      </c>
      <c r="J44" s="3" t="s">
        <v>5</v>
      </c>
      <c r="K44" s="2">
        <f t="shared" si="21"/>
        <v>5</v>
      </c>
      <c r="L44" s="2">
        <f t="shared" si="22"/>
        <v>5</v>
      </c>
      <c r="M44" s="2" cm="1">
        <f t="array" ref="M44">MATCH(TRUE,P44:AD44&lt;&gt;"",0)-1</f>
        <v>2</v>
      </c>
      <c r="N44" s="11">
        <f t="shared" si="3"/>
        <v>41.666666666666671</v>
      </c>
      <c r="O44" s="11" t="str">
        <f t="shared" si="4"/>
        <v>★★★★★</v>
      </c>
      <c r="R44" s="1" t="s">
        <v>44</v>
      </c>
      <c r="T44" s="1" t="s">
        <v>223</v>
      </c>
      <c r="X44" s="1" t="s">
        <v>403</v>
      </c>
      <c r="Y44" s="1" t="s">
        <v>457</v>
      </c>
      <c r="AA44" s="1" t="s">
        <v>493</v>
      </c>
    </row>
    <row r="45" spans="1:29">
      <c r="A45" s="17" t="s">
        <v>0</v>
      </c>
      <c r="B45" s="17" t="s">
        <v>597</v>
      </c>
      <c r="C45" s="17" t="s">
        <v>88</v>
      </c>
      <c r="G45" s="18">
        <f t="shared" si="7"/>
        <v>44</v>
      </c>
      <c r="H45" s="1" t="s">
        <v>552</v>
      </c>
      <c r="I45" s="1" t="str">
        <f t="shared" si="2"/>
        <v>K044</v>
      </c>
      <c r="J45" s="4" t="s">
        <v>6</v>
      </c>
      <c r="K45" s="2">
        <f t="shared" ref="K45" si="32">COUNTA(P45:AS45)</f>
        <v>2</v>
      </c>
      <c r="L45" s="2">
        <f t="shared" ref="L45" si="33">COUNTA(Q45:AT45)</f>
        <v>2</v>
      </c>
      <c r="M45" s="2" cm="1">
        <f t="array" ref="M45">MATCH(TRUE,P45:AD45&lt;&gt;"",0)-1</f>
        <v>7</v>
      </c>
      <c r="N45" s="11">
        <f t="shared" si="3"/>
        <v>16.666666666666664</v>
      </c>
      <c r="O45" s="11" t="str">
        <f t="shared" si="4"/>
        <v>★★★</v>
      </c>
      <c r="W45" s="1" t="s">
        <v>367</v>
      </c>
      <c r="AB45" s="1" t="s">
        <v>551</v>
      </c>
    </row>
    <row r="46" spans="1:29">
      <c r="A46" s="17" t="s">
        <v>0</v>
      </c>
      <c r="B46" s="17" t="s">
        <v>597</v>
      </c>
      <c r="C46" s="17" t="s">
        <v>88</v>
      </c>
      <c r="G46" s="18">
        <f t="shared" si="7"/>
        <v>45</v>
      </c>
      <c r="H46" s="1" t="s">
        <v>270</v>
      </c>
      <c r="I46" s="1" t="str">
        <f t="shared" si="2"/>
        <v>K045</v>
      </c>
      <c r="J46" s="4" t="s">
        <v>6</v>
      </c>
      <c r="K46" s="2">
        <f t="shared" ref="K46:K76" si="34">COUNTA(P46:AS46)</f>
        <v>2</v>
      </c>
      <c r="L46" s="2">
        <f t="shared" ref="L46:L76" si="35">COUNTA(Q46:AT46)</f>
        <v>2</v>
      </c>
      <c r="M46" s="2" cm="1">
        <f t="array" ref="M46">MATCH(TRUE,P46:AD46&lt;&gt;"",0)-1</f>
        <v>5</v>
      </c>
      <c r="N46" s="11">
        <f t="shared" si="3"/>
        <v>16.666666666666664</v>
      </c>
      <c r="O46" s="11" t="str">
        <f t="shared" si="4"/>
        <v>★★★</v>
      </c>
      <c r="U46" s="1" t="s">
        <v>271</v>
      </c>
      <c r="Z46" s="1" t="s">
        <v>493</v>
      </c>
    </row>
    <row r="47" spans="1:29">
      <c r="A47" s="17" t="s">
        <v>0</v>
      </c>
      <c r="B47" s="17" t="s">
        <v>597</v>
      </c>
      <c r="C47" s="17" t="s">
        <v>88</v>
      </c>
      <c r="G47" s="18">
        <f t="shared" si="7"/>
        <v>46</v>
      </c>
      <c r="H47" s="1" t="s">
        <v>582</v>
      </c>
      <c r="I47" s="1" t="str">
        <f t="shared" si="2"/>
        <v>K046</v>
      </c>
      <c r="J47" s="3" t="s">
        <v>5</v>
      </c>
      <c r="K47" s="2">
        <f t="shared" ref="K47" si="36">COUNTA(P47:AS47)</f>
        <v>1</v>
      </c>
      <c r="L47" s="2">
        <f t="shared" ref="L47" si="37">COUNTA(Q47:AT47)</f>
        <v>1</v>
      </c>
      <c r="M47" s="2" cm="1">
        <f t="array" ref="M47">MATCH(TRUE,P47:AD47&lt;&gt;"",0)-1</f>
        <v>13</v>
      </c>
      <c r="N47" s="11">
        <f t="shared" si="3"/>
        <v>0</v>
      </c>
      <c r="O47" s="11" t="str">
        <f t="shared" si="4"/>
        <v>★</v>
      </c>
      <c r="AC47" s="1" t="s">
        <v>553</v>
      </c>
    </row>
    <row r="48" spans="1:29">
      <c r="A48" s="17" t="s">
        <v>0</v>
      </c>
      <c r="B48" s="17" t="s">
        <v>597</v>
      </c>
      <c r="C48" s="17" t="s">
        <v>88</v>
      </c>
      <c r="G48" s="18">
        <f t="shared" si="7"/>
        <v>47</v>
      </c>
      <c r="H48" s="1" t="s">
        <v>188</v>
      </c>
      <c r="I48" s="1" t="str">
        <f t="shared" si="2"/>
        <v>K047</v>
      </c>
      <c r="J48" s="3" t="s">
        <v>5</v>
      </c>
      <c r="K48" s="2">
        <f t="shared" si="34"/>
        <v>2</v>
      </c>
      <c r="L48" s="2">
        <f t="shared" si="35"/>
        <v>2</v>
      </c>
      <c r="M48" s="2" cm="1">
        <f t="array" ref="M48">MATCH(TRUE,P48:AD48&lt;&gt;"",0)-1</f>
        <v>3</v>
      </c>
      <c r="N48" s="11">
        <f t="shared" si="3"/>
        <v>16.666666666666664</v>
      </c>
      <c r="O48" s="11" t="str">
        <f t="shared" si="4"/>
        <v>★★★</v>
      </c>
      <c r="S48" s="1" t="s">
        <v>78</v>
      </c>
      <c r="V48" s="1" t="s">
        <v>320</v>
      </c>
    </row>
    <row r="49" spans="1:28">
      <c r="A49" s="17" t="s">
        <v>0</v>
      </c>
      <c r="B49" s="17" t="s">
        <v>597</v>
      </c>
      <c r="C49" s="17" t="s">
        <v>88</v>
      </c>
      <c r="G49" s="18">
        <f t="shared" si="7"/>
        <v>48</v>
      </c>
      <c r="H49" s="1" t="s">
        <v>164</v>
      </c>
      <c r="I49" s="1" t="str">
        <f t="shared" si="2"/>
        <v>K048</v>
      </c>
      <c r="J49" s="3" t="s">
        <v>5</v>
      </c>
      <c r="K49" s="2">
        <f t="shared" si="34"/>
        <v>3</v>
      </c>
      <c r="L49" s="2">
        <f t="shared" si="35"/>
        <v>2</v>
      </c>
      <c r="M49" s="2" cm="1">
        <f t="array" ref="M49">MATCH(TRUE,P49:AD49&lt;&gt;"",0)-1</f>
        <v>0</v>
      </c>
      <c r="N49" s="11">
        <f t="shared" si="3"/>
        <v>16.666666666666664</v>
      </c>
      <c r="O49" s="11" t="str">
        <f t="shared" si="4"/>
        <v>★★★</v>
      </c>
      <c r="P49" s="1" t="s">
        <v>165</v>
      </c>
      <c r="T49" s="1" t="s">
        <v>252</v>
      </c>
      <c r="Y49" s="1" t="s">
        <v>480</v>
      </c>
    </row>
    <row r="50" spans="1:28">
      <c r="A50" s="17" t="s">
        <v>0</v>
      </c>
      <c r="B50" s="17" t="s">
        <v>597</v>
      </c>
      <c r="C50" s="17" t="s">
        <v>88</v>
      </c>
      <c r="G50" s="18">
        <f t="shared" si="7"/>
        <v>49</v>
      </c>
      <c r="H50" s="1" t="s">
        <v>189</v>
      </c>
      <c r="I50" s="1" t="str">
        <f t="shared" si="2"/>
        <v>K049</v>
      </c>
      <c r="J50" s="4" t="s">
        <v>6</v>
      </c>
      <c r="K50" s="2">
        <f t="shared" si="34"/>
        <v>2</v>
      </c>
      <c r="L50" s="2">
        <f t="shared" si="35"/>
        <v>2</v>
      </c>
      <c r="M50" s="2" cm="1">
        <f t="array" ref="M50">MATCH(TRUE,P50:AD50&lt;&gt;"",0)-1</f>
        <v>3</v>
      </c>
      <c r="N50" s="11">
        <f t="shared" si="3"/>
        <v>16.666666666666664</v>
      </c>
      <c r="O50" s="11" t="str">
        <f t="shared" si="4"/>
        <v>★★★</v>
      </c>
      <c r="S50" s="1" t="s">
        <v>56</v>
      </c>
      <c r="AA50" s="1" t="s">
        <v>492</v>
      </c>
    </row>
    <row r="51" spans="1:28">
      <c r="A51" s="17" t="s">
        <v>0</v>
      </c>
      <c r="B51" s="17" t="s">
        <v>597</v>
      </c>
      <c r="C51" s="17" t="s">
        <v>88</v>
      </c>
      <c r="E51" s="1" t="s">
        <v>222</v>
      </c>
      <c r="G51" s="18">
        <f t="shared" si="7"/>
        <v>50</v>
      </c>
      <c r="H51" s="1" t="s">
        <v>94</v>
      </c>
      <c r="I51" s="1" t="str">
        <f t="shared" si="2"/>
        <v>K050</v>
      </c>
      <c r="J51" s="4" t="s">
        <v>6</v>
      </c>
      <c r="K51" s="2">
        <f t="shared" si="34"/>
        <v>1</v>
      </c>
      <c r="L51" s="2">
        <f t="shared" si="35"/>
        <v>1</v>
      </c>
      <c r="M51" s="2" cm="1">
        <f t="array" ref="M51">MATCH(TRUE,P51:AD51&lt;&gt;"",0)-1</f>
        <v>1</v>
      </c>
      <c r="N51" s="11">
        <f t="shared" si="3"/>
        <v>8.3333333333333321</v>
      </c>
      <c r="O51" s="11" t="str">
        <f t="shared" si="4"/>
        <v>★★</v>
      </c>
      <c r="Q51" s="1" t="s">
        <v>21</v>
      </c>
    </row>
    <row r="52" spans="1:28">
      <c r="A52" s="17" t="s">
        <v>0</v>
      </c>
      <c r="B52" s="17" t="s">
        <v>597</v>
      </c>
      <c r="C52" s="17" t="s">
        <v>88</v>
      </c>
      <c r="G52" s="18">
        <f t="shared" si="7"/>
        <v>51</v>
      </c>
      <c r="H52" s="1" t="s">
        <v>190</v>
      </c>
      <c r="I52" s="1" t="str">
        <f t="shared" si="2"/>
        <v>K051</v>
      </c>
      <c r="J52" s="3" t="s">
        <v>5</v>
      </c>
      <c r="K52" s="2">
        <f t="shared" si="34"/>
        <v>2</v>
      </c>
      <c r="L52" s="2">
        <f t="shared" si="35"/>
        <v>2</v>
      </c>
      <c r="M52" s="2" cm="1">
        <f t="array" ref="M52">MATCH(TRUE,P52:AD52&lt;&gt;"",0)-1</f>
        <v>3</v>
      </c>
      <c r="N52" s="11">
        <f t="shared" si="3"/>
        <v>16.666666666666664</v>
      </c>
      <c r="O52" s="11" t="str">
        <f t="shared" si="4"/>
        <v>★★★</v>
      </c>
      <c r="S52" s="1" t="s">
        <v>57</v>
      </c>
      <c r="W52" s="1" t="s">
        <v>368</v>
      </c>
    </row>
    <row r="53" spans="1:28">
      <c r="A53" s="17" t="s">
        <v>0</v>
      </c>
      <c r="B53" s="17" t="s">
        <v>597</v>
      </c>
      <c r="C53" s="17" t="s">
        <v>88</v>
      </c>
      <c r="G53" s="18">
        <f t="shared" si="7"/>
        <v>52</v>
      </c>
      <c r="H53" s="1" t="s">
        <v>128</v>
      </c>
      <c r="I53" s="1" t="str">
        <f t="shared" si="2"/>
        <v>K052</v>
      </c>
      <c r="J53" s="4" t="s">
        <v>6</v>
      </c>
      <c r="K53" s="2">
        <f>COUNTA(P53:AS53)</f>
        <v>2</v>
      </c>
      <c r="L53" s="2">
        <f>COUNTA(Q53:AT53)</f>
        <v>1</v>
      </c>
      <c r="M53" s="2" cm="1">
        <f t="array" ref="M53">MATCH(TRUE,P53:AD53&lt;&gt;"",0)-1</f>
        <v>0</v>
      </c>
      <c r="N53" s="11">
        <f t="shared" si="3"/>
        <v>8.3333333333333321</v>
      </c>
      <c r="O53" s="11" t="str">
        <f t="shared" si="4"/>
        <v>★★</v>
      </c>
      <c r="P53" s="1" t="s">
        <v>129</v>
      </c>
      <c r="Z53" s="1" t="s">
        <v>496</v>
      </c>
    </row>
    <row r="54" spans="1:28">
      <c r="A54" s="17" t="s">
        <v>0</v>
      </c>
      <c r="B54" s="17" t="s">
        <v>597</v>
      </c>
      <c r="C54" s="17" t="s">
        <v>88</v>
      </c>
      <c r="G54" s="18">
        <f t="shared" si="7"/>
        <v>53</v>
      </c>
      <c r="H54" s="1" t="s">
        <v>498</v>
      </c>
      <c r="I54" s="1" t="str">
        <f t="shared" si="2"/>
        <v>K053</v>
      </c>
      <c r="J54" s="3" t="s">
        <v>5</v>
      </c>
      <c r="K54" s="2">
        <f>COUNTA(P54:AS54)</f>
        <v>1</v>
      </c>
      <c r="L54" s="2">
        <f>COUNTA(Q54:AT54)</f>
        <v>1</v>
      </c>
      <c r="M54" s="2" cm="1">
        <f t="array" ref="M54">MATCH(TRUE,P54:AD54&lt;&gt;"",0)-1</f>
        <v>10</v>
      </c>
      <c r="N54" s="11">
        <f t="shared" si="3"/>
        <v>8.3333333333333321</v>
      </c>
      <c r="O54" s="11" t="str">
        <f t="shared" si="4"/>
        <v>★★</v>
      </c>
      <c r="Z54" s="1" t="s">
        <v>499</v>
      </c>
    </row>
    <row r="55" spans="1:28">
      <c r="A55" s="17" t="s">
        <v>0</v>
      </c>
      <c r="B55" s="17" t="s">
        <v>597</v>
      </c>
      <c r="C55" s="17" t="s">
        <v>88</v>
      </c>
      <c r="D55" s="1" t="s">
        <v>3</v>
      </c>
      <c r="F55" s="2">
        <f>SUM(K55:K58)</f>
        <v>7</v>
      </c>
      <c r="G55" s="18">
        <f t="shared" si="7"/>
        <v>54</v>
      </c>
      <c r="H55" s="1" t="s">
        <v>95</v>
      </c>
      <c r="I55" s="1" t="str">
        <f t="shared" si="2"/>
        <v>K054</v>
      </c>
      <c r="J55" s="4" t="s">
        <v>6</v>
      </c>
      <c r="K55" s="2">
        <f t="shared" si="34"/>
        <v>3</v>
      </c>
      <c r="L55" s="2">
        <f t="shared" si="35"/>
        <v>3</v>
      </c>
      <c r="M55" s="2" cm="1">
        <f t="array" ref="M55">MATCH(TRUE,P55:AD55&lt;&gt;"",0)-1</f>
        <v>1</v>
      </c>
      <c r="N55" s="11">
        <f t="shared" si="3"/>
        <v>25</v>
      </c>
      <c r="O55" s="11" t="str">
        <f t="shared" si="4"/>
        <v>★★★★</v>
      </c>
      <c r="Q55" s="1" t="s">
        <v>22</v>
      </c>
      <c r="X55" s="1" t="s">
        <v>401</v>
      </c>
      <c r="AA55" s="1" t="s">
        <v>494</v>
      </c>
    </row>
    <row r="56" spans="1:28">
      <c r="A56" s="17" t="s">
        <v>0</v>
      </c>
      <c r="B56" s="17" t="s">
        <v>597</v>
      </c>
      <c r="C56" s="17" t="s">
        <v>88</v>
      </c>
      <c r="G56" s="18">
        <f t="shared" si="7"/>
        <v>55</v>
      </c>
      <c r="H56" s="1" t="s">
        <v>124</v>
      </c>
      <c r="I56" s="1" t="str">
        <f t="shared" si="2"/>
        <v>K055</v>
      </c>
      <c r="J56" s="3" t="s">
        <v>5</v>
      </c>
      <c r="K56" s="2">
        <f t="shared" si="34"/>
        <v>2</v>
      </c>
      <c r="L56" s="2">
        <f t="shared" si="35"/>
        <v>1</v>
      </c>
      <c r="M56" s="2" cm="1">
        <f t="array" ref="M56">MATCH(TRUE,P56:AD56&lt;&gt;"",0)-1</f>
        <v>0</v>
      </c>
      <c r="N56" s="11">
        <f t="shared" si="3"/>
        <v>8.3333333333333321</v>
      </c>
      <c r="O56" s="11" t="str">
        <f t="shared" si="4"/>
        <v>★★</v>
      </c>
      <c r="P56" s="1" t="s">
        <v>123</v>
      </c>
      <c r="V56" s="1" t="s">
        <v>321</v>
      </c>
    </row>
    <row r="57" spans="1:28">
      <c r="A57" s="17" t="s">
        <v>0</v>
      </c>
      <c r="B57" s="17" t="s">
        <v>597</v>
      </c>
      <c r="C57" s="17" t="s">
        <v>88</v>
      </c>
      <c r="G57" s="18">
        <f t="shared" si="7"/>
        <v>56</v>
      </c>
      <c r="H57" s="1" t="s">
        <v>554</v>
      </c>
      <c r="I57" s="1" t="str">
        <f t="shared" si="2"/>
        <v>K056</v>
      </c>
      <c r="J57" s="3" t="s">
        <v>5</v>
      </c>
      <c r="K57" s="2">
        <f t="shared" ref="K57" si="38">COUNTA(P57:AS57)</f>
        <v>1</v>
      </c>
      <c r="L57" s="2">
        <f t="shared" ref="L57" si="39">COUNTA(Q57:AT57)</f>
        <v>1</v>
      </c>
      <c r="M57" s="2" cm="1">
        <f t="array" ref="M57">MATCH(TRUE,P57:AD57&lt;&gt;"",0)-1</f>
        <v>12</v>
      </c>
      <c r="N57" s="11">
        <f t="shared" si="3"/>
        <v>8.3333333333333321</v>
      </c>
      <c r="O57" s="11" t="str">
        <f t="shared" si="4"/>
        <v>★★</v>
      </c>
      <c r="AB57" s="1" t="s">
        <v>555</v>
      </c>
    </row>
    <row r="58" spans="1:28">
      <c r="A58" s="17" t="s">
        <v>0</v>
      </c>
      <c r="B58" s="17" t="s">
        <v>597</v>
      </c>
      <c r="C58" s="17" t="s">
        <v>88</v>
      </c>
      <c r="G58" s="18">
        <f t="shared" si="7"/>
        <v>57</v>
      </c>
      <c r="H58" s="1" t="s">
        <v>225</v>
      </c>
      <c r="I58" s="1" t="str">
        <f t="shared" si="2"/>
        <v>K057</v>
      </c>
      <c r="J58" s="3" t="s">
        <v>5</v>
      </c>
      <c r="K58" s="2">
        <f t="shared" si="34"/>
        <v>1</v>
      </c>
      <c r="L58" s="2">
        <f t="shared" si="35"/>
        <v>1</v>
      </c>
      <c r="M58" s="2" cm="1">
        <f t="array" ref="M58">MATCH(TRUE,P58:AD58&lt;&gt;"",0)-1</f>
        <v>4</v>
      </c>
      <c r="N58" s="11">
        <f t="shared" si="3"/>
        <v>8.3333333333333321</v>
      </c>
      <c r="O58" s="11" t="str">
        <f t="shared" si="4"/>
        <v>★★</v>
      </c>
      <c r="T58" s="1" t="s">
        <v>224</v>
      </c>
    </row>
    <row r="59" spans="1:28">
      <c r="A59" s="17" t="s">
        <v>0</v>
      </c>
      <c r="B59" s="17" t="s">
        <v>597</v>
      </c>
      <c r="C59" s="1" t="s">
        <v>73</v>
      </c>
      <c r="D59" s="1" t="s">
        <v>216</v>
      </c>
      <c r="F59" s="2">
        <f>SUM(K59:K65)</f>
        <v>11</v>
      </c>
      <c r="G59" s="18">
        <f t="shared" si="7"/>
        <v>58</v>
      </c>
      <c r="H59" s="1" t="s">
        <v>174</v>
      </c>
      <c r="I59" s="1" t="str">
        <f t="shared" si="2"/>
        <v>K058</v>
      </c>
      <c r="J59" s="3" t="s">
        <v>5</v>
      </c>
      <c r="K59" s="2">
        <f t="shared" si="34"/>
        <v>1</v>
      </c>
      <c r="L59" s="2">
        <f t="shared" si="35"/>
        <v>1</v>
      </c>
      <c r="M59" s="2" cm="1">
        <f t="array" ref="M59">MATCH(TRUE,P59:AD59&lt;&gt;"",0)-1</f>
        <v>1</v>
      </c>
      <c r="N59" s="11">
        <f t="shared" si="3"/>
        <v>8.3333333333333321</v>
      </c>
      <c r="O59" s="11" t="str">
        <f t="shared" si="4"/>
        <v>★★</v>
      </c>
      <c r="Q59" s="1" t="s">
        <v>19</v>
      </c>
    </row>
    <row r="60" spans="1:28">
      <c r="A60" s="17" t="s">
        <v>0</v>
      </c>
      <c r="B60" s="17" t="s">
        <v>597</v>
      </c>
      <c r="C60" s="17" t="s">
        <v>73</v>
      </c>
      <c r="G60" s="18">
        <f t="shared" si="7"/>
        <v>59</v>
      </c>
      <c r="H60" s="1" t="s">
        <v>214</v>
      </c>
      <c r="I60" s="1" t="str">
        <f t="shared" si="2"/>
        <v>K059</v>
      </c>
      <c r="J60" s="3" t="s">
        <v>5</v>
      </c>
      <c r="K60" s="2">
        <f t="shared" si="34"/>
        <v>2</v>
      </c>
      <c r="L60" s="2">
        <f t="shared" si="35"/>
        <v>2</v>
      </c>
      <c r="M60" s="2" cm="1">
        <f t="array" ref="M60">MATCH(TRUE,P60:AD60&lt;&gt;"",0)-1</f>
        <v>4</v>
      </c>
      <c r="N60" s="11">
        <f t="shared" si="3"/>
        <v>16.666666666666664</v>
      </c>
      <c r="O60" s="11" t="str">
        <f t="shared" si="4"/>
        <v>★★★</v>
      </c>
      <c r="T60" s="1" t="s">
        <v>215</v>
      </c>
      <c r="Z60" s="1" t="s">
        <v>491</v>
      </c>
    </row>
    <row r="61" spans="1:28">
      <c r="A61" s="17" t="s">
        <v>0</v>
      </c>
      <c r="B61" s="17" t="s">
        <v>597</v>
      </c>
      <c r="C61" s="17" t="s">
        <v>73</v>
      </c>
      <c r="G61" s="18">
        <f t="shared" si="7"/>
        <v>60</v>
      </c>
      <c r="H61" s="1" t="s">
        <v>446</v>
      </c>
      <c r="I61" s="1" t="str">
        <f t="shared" si="2"/>
        <v>K060</v>
      </c>
      <c r="J61" s="3" t="s">
        <v>5</v>
      </c>
      <c r="K61" s="2">
        <f t="shared" ref="K61" si="40">COUNTA(P61:AS61)</f>
        <v>2</v>
      </c>
      <c r="L61" s="2">
        <f t="shared" ref="L61" si="41">COUNTA(Q61:AT61)</f>
        <v>2</v>
      </c>
      <c r="M61" s="2" cm="1">
        <f t="array" ref="M61">MATCH(TRUE,P61:AD61&lt;&gt;"",0)-1</f>
        <v>8</v>
      </c>
      <c r="N61" s="11">
        <f t="shared" si="3"/>
        <v>16.666666666666664</v>
      </c>
      <c r="O61" s="11" t="str">
        <f t="shared" si="4"/>
        <v>★★★</v>
      </c>
      <c r="X61" s="1" t="s">
        <v>402</v>
      </c>
      <c r="AB61" s="1" t="s">
        <v>577</v>
      </c>
    </row>
    <row r="62" spans="1:28">
      <c r="A62" s="17" t="s">
        <v>0</v>
      </c>
      <c r="B62" s="17" t="s">
        <v>597</v>
      </c>
      <c r="C62" s="17" t="s">
        <v>73</v>
      </c>
      <c r="G62" s="18">
        <f t="shared" si="7"/>
        <v>61</v>
      </c>
      <c r="H62" s="1" t="s">
        <v>447</v>
      </c>
      <c r="I62" s="1" t="str">
        <f t="shared" si="2"/>
        <v>K061</v>
      </c>
      <c r="J62" s="3" t="s">
        <v>5</v>
      </c>
      <c r="K62" s="2">
        <f t="shared" ref="K62" si="42">COUNTA(P62:AS62)</f>
        <v>1</v>
      </c>
      <c r="L62" s="2">
        <f t="shared" ref="L62" si="43">COUNTA(Q62:AT62)</f>
        <v>1</v>
      </c>
      <c r="M62" s="2" cm="1">
        <f t="array" ref="M62">MATCH(TRUE,P62:AD62&lt;&gt;"",0)-1</f>
        <v>9</v>
      </c>
      <c r="N62" s="11">
        <f t="shared" si="3"/>
        <v>8.3333333333333321</v>
      </c>
      <c r="O62" s="11" t="str">
        <f t="shared" si="4"/>
        <v>★★</v>
      </c>
      <c r="Y62" s="1" t="s">
        <v>445</v>
      </c>
    </row>
    <row r="63" spans="1:28">
      <c r="A63" s="17" t="s">
        <v>0</v>
      </c>
      <c r="B63" s="17" t="s">
        <v>597</v>
      </c>
      <c r="C63" s="17" t="s">
        <v>73</v>
      </c>
      <c r="G63" s="18">
        <f t="shared" si="7"/>
        <v>62</v>
      </c>
      <c r="H63" s="1" t="s">
        <v>318</v>
      </c>
      <c r="I63" s="1" t="str">
        <f t="shared" si="2"/>
        <v>K062</v>
      </c>
      <c r="J63" s="3" t="s">
        <v>5</v>
      </c>
      <c r="K63" s="2">
        <f t="shared" si="34"/>
        <v>1</v>
      </c>
      <c r="L63" s="2">
        <f t="shared" si="35"/>
        <v>1</v>
      </c>
      <c r="M63" s="2" cm="1">
        <f t="array" ref="M63">MATCH(TRUE,P63:AD63&lt;&gt;"",0)-1</f>
        <v>6</v>
      </c>
      <c r="N63" s="11">
        <f t="shared" si="3"/>
        <v>8.3333333333333321</v>
      </c>
      <c r="O63" s="11" t="str">
        <f t="shared" si="4"/>
        <v>★★</v>
      </c>
      <c r="V63" s="1" t="s">
        <v>319</v>
      </c>
    </row>
    <row r="64" spans="1:28">
      <c r="A64" s="17" t="s">
        <v>0</v>
      </c>
      <c r="B64" s="17" t="s">
        <v>597</v>
      </c>
      <c r="C64" s="17" t="s">
        <v>73</v>
      </c>
      <c r="G64" s="18">
        <f t="shared" si="7"/>
        <v>63</v>
      </c>
      <c r="H64" s="1" t="s">
        <v>171</v>
      </c>
      <c r="I64" s="1" t="str">
        <f t="shared" si="2"/>
        <v>K063</v>
      </c>
      <c r="J64" s="3" t="s">
        <v>5</v>
      </c>
      <c r="K64" s="2">
        <f t="shared" si="34"/>
        <v>1</v>
      </c>
      <c r="L64" s="2">
        <f t="shared" si="35"/>
        <v>1</v>
      </c>
      <c r="M64" s="2" cm="1">
        <f t="array" ref="M64">MATCH(TRUE,P64:AD64&lt;&gt;"",0)-1</f>
        <v>2</v>
      </c>
      <c r="N64" s="11">
        <f t="shared" si="3"/>
        <v>8.3333333333333321</v>
      </c>
      <c r="O64" s="11" t="str">
        <f t="shared" si="4"/>
        <v>★★</v>
      </c>
      <c r="R64" s="1" t="s">
        <v>48</v>
      </c>
    </row>
    <row r="65" spans="1:32">
      <c r="A65" s="17" t="s">
        <v>0</v>
      </c>
      <c r="B65" s="17" t="s">
        <v>597</v>
      </c>
      <c r="C65" s="17" t="s">
        <v>73</v>
      </c>
      <c r="G65" s="18">
        <f t="shared" si="7"/>
        <v>64</v>
      </c>
      <c r="H65" s="1" t="s">
        <v>109</v>
      </c>
      <c r="I65" s="1" t="str">
        <f t="shared" ref="I65:I79" si="44">B65&amp;TEXT(G65,"000")</f>
        <v>K064</v>
      </c>
      <c r="J65" s="3" t="s">
        <v>5</v>
      </c>
      <c r="K65" s="2">
        <f t="shared" si="34"/>
        <v>3</v>
      </c>
      <c r="L65" s="2">
        <f t="shared" si="35"/>
        <v>2</v>
      </c>
      <c r="M65" s="2" cm="1">
        <f t="array" ref="M65">MATCH(TRUE,P65:AD65&lt;&gt;"",0)-1</f>
        <v>0</v>
      </c>
      <c r="N65" s="11">
        <f t="shared" ref="N65:N128" si="45">COUNTA(Q65:AB65)/COUNTA($Q$1:$AB$1)*100</f>
        <v>8.3333333333333321</v>
      </c>
      <c r="O65" s="11" t="str">
        <f t="shared" ref="O65:O128" si="46">IF(N65&gt;=33,"★★★★★",IF(N65&gt;=25,"★★★★",IF(N65&gt;=15,"★★★",IF(N65&gt;=5,"★★","★"))))</f>
        <v>★★</v>
      </c>
      <c r="P65" s="1" t="s">
        <v>110</v>
      </c>
      <c r="V65" s="1" t="s">
        <v>313</v>
      </c>
      <c r="AC65" s="1" t="s">
        <v>548</v>
      </c>
    </row>
    <row r="66" spans="1:32">
      <c r="A66" s="17" t="s">
        <v>0</v>
      </c>
      <c r="B66" s="17" t="s">
        <v>597</v>
      </c>
      <c r="C66" s="17" t="s">
        <v>73</v>
      </c>
      <c r="D66" s="1" t="s">
        <v>218</v>
      </c>
      <c r="F66" s="2">
        <f>SUM(K66:K71)</f>
        <v>19</v>
      </c>
      <c r="G66" s="18">
        <f t="shared" si="7"/>
        <v>65</v>
      </c>
      <c r="H66" s="1" t="s">
        <v>93</v>
      </c>
      <c r="I66" s="1" t="str">
        <f t="shared" si="44"/>
        <v>K065</v>
      </c>
      <c r="J66" s="3" t="s">
        <v>5</v>
      </c>
      <c r="K66" s="2">
        <f t="shared" si="34"/>
        <v>2</v>
      </c>
      <c r="L66" s="2">
        <f t="shared" si="35"/>
        <v>2</v>
      </c>
      <c r="M66" s="2" cm="1">
        <f t="array" ref="M66">MATCH(TRUE,P66:AD66&lt;&gt;"",0)-1</f>
        <v>1</v>
      </c>
      <c r="N66" s="11">
        <f t="shared" si="45"/>
        <v>16.666666666666664</v>
      </c>
      <c r="O66" s="11" t="str">
        <f t="shared" si="46"/>
        <v>★★★</v>
      </c>
      <c r="Q66" s="1" t="s">
        <v>18</v>
      </c>
      <c r="X66" s="1" t="s">
        <v>424</v>
      </c>
    </row>
    <row r="67" spans="1:32">
      <c r="A67" s="17" t="s">
        <v>0</v>
      </c>
      <c r="B67" s="17" t="s">
        <v>597</v>
      </c>
      <c r="C67" s="17" t="s">
        <v>73</v>
      </c>
      <c r="G67" s="18">
        <f t="shared" si="7"/>
        <v>66</v>
      </c>
      <c r="H67" s="1" t="s">
        <v>362</v>
      </c>
      <c r="I67" s="1" t="str">
        <f t="shared" si="44"/>
        <v>K066</v>
      </c>
      <c r="J67" s="3" t="s">
        <v>5</v>
      </c>
      <c r="K67" s="2">
        <f t="shared" si="34"/>
        <v>9</v>
      </c>
      <c r="L67" s="2">
        <f t="shared" si="35"/>
        <v>9</v>
      </c>
      <c r="M67" s="2" cm="1">
        <f t="array" ref="M67">MATCH(TRUE,P67:AD67&lt;&gt;"",0)-1</f>
        <v>2</v>
      </c>
      <c r="N67" s="11">
        <f t="shared" si="45"/>
        <v>75</v>
      </c>
      <c r="O67" s="11" t="str">
        <f t="shared" si="46"/>
        <v>★★★★★</v>
      </c>
      <c r="R67" s="1" t="s">
        <v>43</v>
      </c>
      <c r="S67" s="1" t="s">
        <v>44</v>
      </c>
      <c r="T67" s="1" t="s">
        <v>220</v>
      </c>
      <c r="V67" s="1" t="s">
        <v>53</v>
      </c>
      <c r="W67" s="1" t="s">
        <v>361</v>
      </c>
      <c r="Y67" s="1" t="s">
        <v>443</v>
      </c>
      <c r="Z67" s="1" t="s">
        <v>492</v>
      </c>
      <c r="AA67" s="1" t="s">
        <v>526</v>
      </c>
      <c r="AB67" s="1" t="s">
        <v>548</v>
      </c>
    </row>
    <row r="68" spans="1:32">
      <c r="A68" s="17" t="s">
        <v>0</v>
      </c>
      <c r="B68" s="17" t="s">
        <v>597</v>
      </c>
      <c r="C68" s="17" t="s">
        <v>73</v>
      </c>
      <c r="G68" s="18">
        <f t="shared" si="7"/>
        <v>67</v>
      </c>
      <c r="H68" s="1" t="s">
        <v>77</v>
      </c>
      <c r="I68" s="1" t="str">
        <f t="shared" si="44"/>
        <v>K067</v>
      </c>
      <c r="J68" s="3" t="s">
        <v>5</v>
      </c>
      <c r="K68" s="2">
        <f t="shared" si="34"/>
        <v>4</v>
      </c>
      <c r="L68" s="2">
        <f t="shared" si="35"/>
        <v>4</v>
      </c>
      <c r="M68" s="2" cm="1">
        <f t="array" ref="M68">MATCH(TRUE,P68:AD68&lt;&gt;"",0)-1</f>
        <v>3</v>
      </c>
      <c r="N68" s="11">
        <f t="shared" si="45"/>
        <v>25</v>
      </c>
      <c r="O68" s="11" t="str">
        <f t="shared" si="46"/>
        <v>★★★★</v>
      </c>
      <c r="S68" s="1" t="s">
        <v>53</v>
      </c>
      <c r="T68" s="1" t="s">
        <v>251</v>
      </c>
      <c r="X68" s="1" t="s">
        <v>400</v>
      </c>
      <c r="AC68" s="1" t="s">
        <v>577</v>
      </c>
    </row>
    <row r="69" spans="1:32">
      <c r="A69" s="17" t="s">
        <v>0</v>
      </c>
      <c r="B69" s="17" t="s">
        <v>597</v>
      </c>
      <c r="C69" s="17" t="s">
        <v>73</v>
      </c>
      <c r="G69" s="18">
        <f t="shared" si="7"/>
        <v>68</v>
      </c>
      <c r="H69" s="1" t="s">
        <v>121</v>
      </c>
      <c r="I69" s="1" t="str">
        <f t="shared" si="44"/>
        <v>K068</v>
      </c>
      <c r="J69" s="3" t="s">
        <v>5</v>
      </c>
      <c r="K69" s="2">
        <f t="shared" si="34"/>
        <v>2</v>
      </c>
      <c r="L69" s="2">
        <f t="shared" si="35"/>
        <v>1</v>
      </c>
      <c r="M69" s="2" cm="1">
        <f t="array" ref="M69">MATCH(TRUE,P69:AD69&lt;&gt;"",0)-1</f>
        <v>0</v>
      </c>
      <c r="N69" s="11">
        <f t="shared" si="45"/>
        <v>8.3333333333333321</v>
      </c>
      <c r="O69" s="11" t="str">
        <f t="shared" si="46"/>
        <v>★★</v>
      </c>
      <c r="P69" s="1" t="s">
        <v>122</v>
      </c>
      <c r="U69" s="1" t="s">
        <v>267</v>
      </c>
    </row>
    <row r="70" spans="1:32">
      <c r="A70" s="17" t="s">
        <v>0</v>
      </c>
      <c r="B70" s="17" t="s">
        <v>597</v>
      </c>
      <c r="C70" s="17" t="s">
        <v>73</v>
      </c>
      <c r="G70" s="18">
        <f t="shared" ref="G70:G79" si="47">G69+1</f>
        <v>69</v>
      </c>
      <c r="H70" s="1" t="s">
        <v>119</v>
      </c>
      <c r="I70" s="1" t="str">
        <f t="shared" si="44"/>
        <v>K069</v>
      </c>
      <c r="J70" s="3" t="s">
        <v>5</v>
      </c>
      <c r="K70" s="2">
        <f t="shared" si="34"/>
        <v>1</v>
      </c>
      <c r="L70" s="2">
        <f t="shared" si="35"/>
        <v>0</v>
      </c>
      <c r="M70" s="2" cm="1">
        <f t="array" ref="M70">MATCH(TRUE,P70:AD70&lt;&gt;"",0)-1</f>
        <v>0</v>
      </c>
      <c r="N70" s="11">
        <f t="shared" si="45"/>
        <v>0</v>
      </c>
      <c r="O70" s="11" t="str">
        <f t="shared" si="46"/>
        <v>★</v>
      </c>
      <c r="P70" s="1" t="s">
        <v>120</v>
      </c>
    </row>
    <row r="71" spans="1:32">
      <c r="A71" s="17" t="s">
        <v>0</v>
      </c>
      <c r="B71" s="17" t="s">
        <v>597</v>
      </c>
      <c r="C71" s="17" t="s">
        <v>73</v>
      </c>
      <c r="G71" s="18">
        <f t="shared" si="47"/>
        <v>70</v>
      </c>
      <c r="H71" s="1" t="s">
        <v>268</v>
      </c>
      <c r="I71" s="1" t="str">
        <f t="shared" si="44"/>
        <v>K070</v>
      </c>
      <c r="J71" s="3" t="s">
        <v>5</v>
      </c>
      <c r="K71" s="2">
        <f t="shared" si="34"/>
        <v>1</v>
      </c>
      <c r="L71" s="2">
        <f t="shared" si="35"/>
        <v>1</v>
      </c>
      <c r="M71" s="2" cm="1">
        <f t="array" ref="M71">MATCH(TRUE,P71:AD71&lt;&gt;"",0)-1</f>
        <v>5</v>
      </c>
      <c r="N71" s="11">
        <f t="shared" si="45"/>
        <v>8.3333333333333321</v>
      </c>
      <c r="O71" s="11" t="str">
        <f t="shared" si="46"/>
        <v>★★</v>
      </c>
      <c r="U71" s="1" t="s">
        <v>269</v>
      </c>
    </row>
    <row r="72" spans="1:32">
      <c r="A72" s="17" t="s">
        <v>0</v>
      </c>
      <c r="B72" s="17" t="s">
        <v>597</v>
      </c>
      <c r="C72" s="17" t="s">
        <v>73</v>
      </c>
      <c r="G72" s="18">
        <f t="shared" si="47"/>
        <v>71</v>
      </c>
      <c r="H72" s="1" t="s">
        <v>533</v>
      </c>
      <c r="I72" s="1" t="str">
        <f t="shared" si="44"/>
        <v>K071</v>
      </c>
      <c r="J72" s="3" t="s">
        <v>5</v>
      </c>
      <c r="K72" s="2">
        <f t="shared" ref="K72" si="48">COUNTA(P72:AS72)</f>
        <v>1</v>
      </c>
      <c r="L72" s="2">
        <f t="shared" ref="L72" si="49">COUNTA(Q72:AT72)</f>
        <v>1</v>
      </c>
      <c r="M72" s="2" cm="1">
        <f t="array" ref="M72">MATCH(TRUE,P72:AD72&lt;&gt;"",0)-1</f>
        <v>11</v>
      </c>
      <c r="N72" s="11">
        <f t="shared" si="45"/>
        <v>8.3333333333333321</v>
      </c>
      <c r="O72" s="11" t="str">
        <f t="shared" si="46"/>
        <v>★★</v>
      </c>
      <c r="AA72" s="1" t="s">
        <v>499</v>
      </c>
    </row>
    <row r="73" spans="1:32">
      <c r="A73" s="17" t="s">
        <v>0</v>
      </c>
      <c r="B73" s="17" t="s">
        <v>597</v>
      </c>
      <c r="C73" s="17" t="s">
        <v>73</v>
      </c>
      <c r="D73" s="1" t="s">
        <v>217</v>
      </c>
      <c r="F73" s="2">
        <f>SUM(K73:K77)</f>
        <v>9</v>
      </c>
      <c r="G73" s="18">
        <f t="shared" si="47"/>
        <v>72</v>
      </c>
      <c r="H73" s="1" t="s">
        <v>550</v>
      </c>
      <c r="I73" s="1" t="str">
        <f t="shared" si="44"/>
        <v>K072</v>
      </c>
      <c r="J73" s="3" t="s">
        <v>5</v>
      </c>
      <c r="K73" s="2">
        <f t="shared" si="34"/>
        <v>3</v>
      </c>
      <c r="L73" s="2">
        <f t="shared" si="35"/>
        <v>3</v>
      </c>
      <c r="M73" s="2" cm="1">
        <f t="array" ref="M73">MATCH(TRUE,P73:AD73&lt;&gt;"",0)-1</f>
        <v>2</v>
      </c>
      <c r="N73" s="11">
        <f t="shared" si="45"/>
        <v>25</v>
      </c>
      <c r="O73" s="11" t="str">
        <f t="shared" si="46"/>
        <v>★★★★</v>
      </c>
      <c r="R73" s="1" t="s">
        <v>78</v>
      </c>
      <c r="V73" s="1" t="s">
        <v>350</v>
      </c>
      <c r="AB73" s="1" t="s">
        <v>549</v>
      </c>
    </row>
    <row r="74" spans="1:32">
      <c r="A74" s="17" t="s">
        <v>0</v>
      </c>
      <c r="B74" s="17" t="s">
        <v>597</v>
      </c>
      <c r="C74" s="17" t="s">
        <v>73</v>
      </c>
      <c r="G74" s="18">
        <f t="shared" si="47"/>
        <v>73</v>
      </c>
      <c r="H74" s="1" t="s">
        <v>191</v>
      </c>
      <c r="I74" s="1" t="str">
        <f t="shared" si="44"/>
        <v>K073</v>
      </c>
      <c r="J74" s="4" t="s">
        <v>6</v>
      </c>
      <c r="K74" s="2">
        <f t="shared" si="34"/>
        <v>3</v>
      </c>
      <c r="L74" s="2">
        <f t="shared" si="35"/>
        <v>3</v>
      </c>
      <c r="M74" s="2" cm="1">
        <f t="array" ref="M74">MATCH(TRUE,P74:AD74&lt;&gt;"",0)-1</f>
        <v>1</v>
      </c>
      <c r="N74" s="11">
        <f t="shared" si="45"/>
        <v>25</v>
      </c>
      <c r="O74" s="11" t="str">
        <f t="shared" si="46"/>
        <v>★★★★</v>
      </c>
      <c r="Q74" s="1" t="s">
        <v>20</v>
      </c>
      <c r="W74" s="1" t="s">
        <v>360</v>
      </c>
      <c r="AA74" s="1" t="s">
        <v>491</v>
      </c>
    </row>
    <row r="75" spans="1:32">
      <c r="A75" s="17" t="s">
        <v>0</v>
      </c>
      <c r="B75" s="17" t="s">
        <v>597</v>
      </c>
      <c r="C75" s="17" t="s">
        <v>73</v>
      </c>
      <c r="G75" s="18">
        <f t="shared" si="47"/>
        <v>74</v>
      </c>
      <c r="H75" s="1" t="s">
        <v>441</v>
      </c>
      <c r="I75" s="1" t="str">
        <f t="shared" si="44"/>
        <v>K074</v>
      </c>
      <c r="J75" s="3" t="s">
        <v>5</v>
      </c>
      <c r="K75" s="2">
        <f t="shared" si="34"/>
        <v>1</v>
      </c>
      <c r="L75" s="2">
        <f t="shared" si="35"/>
        <v>1</v>
      </c>
      <c r="M75" s="2" cm="1">
        <f t="array" ref="M75">MATCH(TRUE,P75:AD75&lt;&gt;"",0)-1</f>
        <v>9</v>
      </c>
      <c r="N75" s="11">
        <f t="shared" si="45"/>
        <v>8.3333333333333321</v>
      </c>
      <c r="O75" s="11" t="str">
        <f t="shared" si="46"/>
        <v>★★</v>
      </c>
      <c r="Y75" s="1" t="s">
        <v>442</v>
      </c>
    </row>
    <row r="76" spans="1:32">
      <c r="A76" s="17" t="s">
        <v>0</v>
      </c>
      <c r="B76" s="17" t="s">
        <v>597</v>
      </c>
      <c r="C76" s="17" t="s">
        <v>73</v>
      </c>
      <c r="G76" s="18">
        <f t="shared" si="47"/>
        <v>75</v>
      </c>
      <c r="H76" s="1" t="s">
        <v>306</v>
      </c>
      <c r="I76" s="1" t="str">
        <f t="shared" si="44"/>
        <v>K075</v>
      </c>
      <c r="J76" s="3" t="s">
        <v>5</v>
      </c>
      <c r="K76" s="2">
        <f t="shared" si="34"/>
        <v>1</v>
      </c>
      <c r="L76" s="2">
        <f t="shared" si="35"/>
        <v>1</v>
      </c>
      <c r="M76" s="2" cm="1">
        <f t="array" ref="M76">MATCH(TRUE,P76:AD76&lt;&gt;"",0)-1</f>
        <v>5</v>
      </c>
      <c r="N76" s="11">
        <f t="shared" si="45"/>
        <v>8.3333333333333321</v>
      </c>
      <c r="O76" s="11" t="str">
        <f t="shared" si="46"/>
        <v>★★</v>
      </c>
      <c r="U76" s="1" t="s">
        <v>44</v>
      </c>
    </row>
    <row r="77" spans="1:32">
      <c r="A77" s="17" t="s">
        <v>0</v>
      </c>
      <c r="B77" s="17" t="s">
        <v>597</v>
      </c>
      <c r="C77" s="17" t="s">
        <v>73</v>
      </c>
      <c r="G77" s="18">
        <f t="shared" si="47"/>
        <v>76</v>
      </c>
      <c r="H77" s="1" t="s">
        <v>525</v>
      </c>
      <c r="I77" s="1" t="str">
        <f t="shared" si="44"/>
        <v>K076</v>
      </c>
      <c r="J77" s="3" t="s">
        <v>5</v>
      </c>
      <c r="K77" s="2">
        <f t="shared" ref="K77:K78" si="50">COUNTA(P77:AS77)</f>
        <v>1</v>
      </c>
      <c r="L77" s="2">
        <f t="shared" ref="L77:L78" si="51">COUNTA(Q77:AT77)</f>
        <v>1</v>
      </c>
      <c r="M77" s="2" cm="1">
        <f t="array" ref="M77">MATCH(TRUE,P77:AD77&lt;&gt;"",0)-1</f>
        <v>10</v>
      </c>
      <c r="N77" s="11">
        <f t="shared" si="45"/>
        <v>8.3333333333333321</v>
      </c>
      <c r="O77" s="11" t="str">
        <f t="shared" si="46"/>
        <v>★★</v>
      </c>
      <c r="Z77" s="1" t="s">
        <v>526</v>
      </c>
    </row>
    <row r="78" spans="1:32">
      <c r="A78" s="17" t="s">
        <v>0</v>
      </c>
      <c r="B78" s="17" t="s">
        <v>597</v>
      </c>
      <c r="C78" s="17" t="s">
        <v>73</v>
      </c>
      <c r="D78" s="1" t="s">
        <v>219</v>
      </c>
      <c r="F78" s="2">
        <f>SUM(K78:K79)</f>
        <v>3</v>
      </c>
      <c r="G78" s="18">
        <f t="shared" si="47"/>
        <v>77</v>
      </c>
      <c r="H78" s="1" t="s">
        <v>175</v>
      </c>
      <c r="I78" s="1" t="str">
        <f t="shared" si="44"/>
        <v>K077</v>
      </c>
      <c r="J78" s="3" t="s">
        <v>5</v>
      </c>
      <c r="K78" s="2">
        <f t="shared" si="50"/>
        <v>1</v>
      </c>
      <c r="L78" s="2">
        <f t="shared" si="51"/>
        <v>1</v>
      </c>
      <c r="M78" s="2" cm="1">
        <f t="array" ref="M78">MATCH(TRUE,P78:AD78&lt;&gt;"",0)-1</f>
        <v>2</v>
      </c>
      <c r="N78" s="11">
        <f t="shared" si="45"/>
        <v>8.3333333333333321</v>
      </c>
      <c r="O78" s="11" t="str">
        <f t="shared" si="46"/>
        <v>★★</v>
      </c>
      <c r="R78" s="1" t="s">
        <v>56</v>
      </c>
    </row>
    <row r="79" spans="1:32">
      <c r="A79" s="17" t="s">
        <v>0</v>
      </c>
      <c r="B79" s="17" t="s">
        <v>597</v>
      </c>
      <c r="C79" s="17" t="s">
        <v>73</v>
      </c>
      <c r="G79" s="18">
        <f t="shared" si="47"/>
        <v>78</v>
      </c>
      <c r="H79" s="1" t="s">
        <v>355</v>
      </c>
      <c r="I79" s="1" t="str">
        <f t="shared" si="44"/>
        <v>K078</v>
      </c>
      <c r="J79" s="3" t="s">
        <v>5</v>
      </c>
      <c r="K79" s="2">
        <f t="shared" ref="K79" si="52">COUNTA(P79:AS79)</f>
        <v>2</v>
      </c>
      <c r="L79" s="2">
        <f t="shared" ref="L79" si="53">COUNTA(Q79:AT79)</f>
        <v>2</v>
      </c>
      <c r="M79" s="2" cm="1">
        <f t="array" ref="M79">MATCH(TRUE,P79:AD79&lt;&gt;"",0)-1</f>
        <v>7</v>
      </c>
      <c r="N79" s="11">
        <f t="shared" si="45"/>
        <v>8.3333333333333321</v>
      </c>
      <c r="O79" s="11" t="str">
        <f t="shared" si="46"/>
        <v>★★</v>
      </c>
      <c r="W79" s="1" t="s">
        <v>356</v>
      </c>
      <c r="AC79" s="1" t="s">
        <v>576</v>
      </c>
    </row>
    <row r="80" spans="1:32">
      <c r="A80" s="1" t="s">
        <v>7</v>
      </c>
      <c r="B80" s="1" t="s">
        <v>598</v>
      </c>
      <c r="C80" s="1" t="s">
        <v>434</v>
      </c>
      <c r="F80" s="2">
        <f>SUM(K80:K85)</f>
        <v>17</v>
      </c>
      <c r="G80" s="18">
        <v>1</v>
      </c>
      <c r="H80" s="1" t="s">
        <v>605</v>
      </c>
      <c r="I80" s="1" t="str">
        <f>B80&amp;TEXT(G80,"000")</f>
        <v>A001</v>
      </c>
      <c r="J80" s="5" t="s">
        <v>80</v>
      </c>
      <c r="K80" s="2">
        <f t="shared" ref="K80:K97" si="54">COUNTA(P80:AS80)</f>
        <v>8</v>
      </c>
      <c r="L80" s="2">
        <f t="shared" ref="L80:L97" si="55">COUNTA(Q80:AT80)</f>
        <v>7</v>
      </c>
      <c r="M80" s="2" cm="1">
        <f t="array" ref="M80">MATCH(TRUE,P80:AD80&lt;&gt;"",0)-1</f>
        <v>0</v>
      </c>
      <c r="N80" s="11">
        <f t="shared" si="45"/>
        <v>41.666666666666671</v>
      </c>
      <c r="O80" s="11" t="str">
        <f t="shared" si="46"/>
        <v>★★★★★</v>
      </c>
      <c r="P80" s="1" t="s">
        <v>58</v>
      </c>
      <c r="Q80" s="1" t="s">
        <v>23</v>
      </c>
      <c r="R80" s="1" t="s">
        <v>60</v>
      </c>
      <c r="W80" s="1" t="s">
        <v>371</v>
      </c>
      <c r="Y80" s="1" t="s">
        <v>458</v>
      </c>
      <c r="AB80" s="1" t="s">
        <v>558</v>
      </c>
      <c r="AC80" s="1" t="s">
        <v>557</v>
      </c>
      <c r="AF80" s="1" t="s">
        <v>608</v>
      </c>
    </row>
    <row r="81" spans="1:29">
      <c r="A81" s="17" t="s">
        <v>7</v>
      </c>
      <c r="B81" s="17" t="s">
        <v>598</v>
      </c>
      <c r="C81" s="17" t="s">
        <v>434</v>
      </c>
      <c r="G81" s="18">
        <f>G80+1</f>
        <v>2</v>
      </c>
      <c r="H81" s="1" t="s">
        <v>97</v>
      </c>
      <c r="I81" s="1" t="str">
        <f t="shared" ref="I81:I144" si="56">B81&amp;TEXT(G81,"000")</f>
        <v>A002</v>
      </c>
      <c r="J81" s="4" t="s">
        <v>6</v>
      </c>
      <c r="K81" s="2">
        <f t="shared" si="54"/>
        <v>2</v>
      </c>
      <c r="L81" s="2">
        <f t="shared" si="55"/>
        <v>2</v>
      </c>
      <c r="M81" s="2" cm="1">
        <f t="array" ref="M81">MATCH(TRUE,P81:AD81&lt;&gt;"",0)-1</f>
        <v>1</v>
      </c>
      <c r="N81" s="11">
        <f t="shared" si="45"/>
        <v>16.666666666666664</v>
      </c>
      <c r="O81" s="11" t="str">
        <f t="shared" si="46"/>
        <v>★★★</v>
      </c>
      <c r="Q81" s="1" t="s">
        <v>25</v>
      </c>
      <c r="V81" s="1" t="s">
        <v>324</v>
      </c>
    </row>
    <row r="82" spans="1:29">
      <c r="A82" s="17" t="s">
        <v>7</v>
      </c>
      <c r="B82" s="17" t="s">
        <v>598</v>
      </c>
      <c r="C82" s="17" t="s">
        <v>434</v>
      </c>
      <c r="G82" s="18">
        <f t="shared" ref="G82:G90" si="57">G81+1</f>
        <v>3</v>
      </c>
      <c r="H82" s="1" t="s">
        <v>79</v>
      </c>
      <c r="I82" s="1" t="str">
        <f t="shared" si="56"/>
        <v>A003</v>
      </c>
      <c r="J82" s="3" t="s">
        <v>5</v>
      </c>
      <c r="K82" s="2">
        <f t="shared" si="54"/>
        <v>1</v>
      </c>
      <c r="L82" s="2">
        <f t="shared" si="55"/>
        <v>1</v>
      </c>
      <c r="M82" s="2" cm="1">
        <f t="array" ref="M82">MATCH(TRUE,P82:AD82&lt;&gt;"",0)-1</f>
        <v>3</v>
      </c>
      <c r="N82" s="11">
        <f t="shared" si="45"/>
        <v>8.3333333333333321</v>
      </c>
      <c r="O82" s="11" t="str">
        <f t="shared" si="46"/>
        <v>★★</v>
      </c>
      <c r="S82" s="1" t="s">
        <v>58</v>
      </c>
    </row>
    <row r="83" spans="1:29">
      <c r="A83" s="17" t="s">
        <v>7</v>
      </c>
      <c r="B83" s="17" t="s">
        <v>598</v>
      </c>
      <c r="C83" s="17" t="s">
        <v>434</v>
      </c>
      <c r="G83" s="18">
        <f t="shared" si="57"/>
        <v>4</v>
      </c>
      <c r="H83" s="1" t="s">
        <v>369</v>
      </c>
      <c r="I83" s="1" t="str">
        <f t="shared" si="56"/>
        <v>A004</v>
      </c>
      <c r="J83" s="3" t="s">
        <v>5</v>
      </c>
      <c r="K83" s="2">
        <f t="shared" ref="K83:K84" si="58">COUNTA(P83:AS83)</f>
        <v>1</v>
      </c>
      <c r="L83" s="2">
        <f t="shared" ref="L83:L84" si="59">COUNTA(Q83:AT83)</f>
        <v>1</v>
      </c>
      <c r="M83" s="2" cm="1">
        <f t="array" ref="M83">MATCH(TRUE,P83:AD83&lt;&gt;"",0)-1</f>
        <v>7</v>
      </c>
      <c r="N83" s="11">
        <f t="shared" si="45"/>
        <v>8.3333333333333321</v>
      </c>
      <c r="O83" s="11" t="str">
        <f t="shared" si="46"/>
        <v>★★</v>
      </c>
      <c r="W83" s="1" t="s">
        <v>370</v>
      </c>
    </row>
    <row r="84" spans="1:29">
      <c r="A84" s="17" t="s">
        <v>7</v>
      </c>
      <c r="B84" s="17" t="s">
        <v>598</v>
      </c>
      <c r="C84" s="17" t="s">
        <v>434</v>
      </c>
      <c r="G84" s="18">
        <f t="shared" si="57"/>
        <v>5</v>
      </c>
      <c r="H84" s="1" t="s">
        <v>278</v>
      </c>
      <c r="I84" s="1" t="str">
        <f t="shared" si="56"/>
        <v>A005</v>
      </c>
      <c r="J84" s="3" t="s">
        <v>5</v>
      </c>
      <c r="K84" s="2">
        <f t="shared" si="58"/>
        <v>4</v>
      </c>
      <c r="L84" s="2">
        <f t="shared" si="59"/>
        <v>3</v>
      </c>
      <c r="M84" s="2" cm="1">
        <f t="array" ref="M84">MATCH(TRUE,P84:AD84&lt;&gt;"",0)-1</f>
        <v>0</v>
      </c>
      <c r="N84" s="11">
        <f t="shared" si="45"/>
        <v>16.666666666666664</v>
      </c>
      <c r="O84" s="11" t="str">
        <f t="shared" si="46"/>
        <v>★★★</v>
      </c>
      <c r="P84" s="1" t="s">
        <v>60</v>
      </c>
      <c r="U84" s="1" t="s">
        <v>60</v>
      </c>
      <c r="Y84" s="1" t="s">
        <v>60</v>
      </c>
      <c r="AC84" s="1" t="s">
        <v>558</v>
      </c>
    </row>
    <row r="85" spans="1:29">
      <c r="A85" s="17" t="s">
        <v>7</v>
      </c>
      <c r="B85" s="17" t="s">
        <v>598</v>
      </c>
      <c r="C85" s="17" t="s">
        <v>434</v>
      </c>
      <c r="G85" s="18">
        <f t="shared" si="57"/>
        <v>6</v>
      </c>
      <c r="H85" s="1" t="s">
        <v>556</v>
      </c>
      <c r="I85" s="1" t="str">
        <f t="shared" si="56"/>
        <v>A006</v>
      </c>
      <c r="J85" s="3" t="s">
        <v>5</v>
      </c>
      <c r="K85" s="2">
        <f t="shared" si="54"/>
        <v>1</v>
      </c>
      <c r="L85" s="2">
        <f t="shared" si="55"/>
        <v>1</v>
      </c>
      <c r="M85" s="2" cm="1">
        <f t="array" ref="M85">MATCH(TRUE,P85:AD85&lt;&gt;"",0)-1</f>
        <v>12</v>
      </c>
      <c r="N85" s="11">
        <f t="shared" si="45"/>
        <v>8.3333333333333321</v>
      </c>
      <c r="O85" s="11" t="str">
        <f t="shared" si="46"/>
        <v>★★</v>
      </c>
      <c r="AB85" s="1" t="s">
        <v>557</v>
      </c>
    </row>
    <row r="86" spans="1:29">
      <c r="A86" s="17" t="s">
        <v>7</v>
      </c>
      <c r="B86" s="17" t="s">
        <v>598</v>
      </c>
      <c r="C86" s="1" t="s">
        <v>61</v>
      </c>
      <c r="F86" s="2">
        <f>SUM(K86:K89)</f>
        <v>8</v>
      </c>
      <c r="G86" s="18">
        <f t="shared" si="57"/>
        <v>7</v>
      </c>
      <c r="H86" s="1" t="s">
        <v>274</v>
      </c>
      <c r="I86" s="1" t="str">
        <f t="shared" si="56"/>
        <v>A007</v>
      </c>
      <c r="J86" s="3" t="s">
        <v>5</v>
      </c>
      <c r="K86" s="2">
        <f t="shared" si="54"/>
        <v>2</v>
      </c>
      <c r="L86" s="2">
        <f t="shared" si="55"/>
        <v>2</v>
      </c>
      <c r="M86" s="2" cm="1">
        <f t="array" ref="M86">MATCH(TRUE,P86:AD86&lt;&gt;"",0)-1</f>
        <v>1</v>
      </c>
      <c r="N86" s="11">
        <f t="shared" si="45"/>
        <v>16.666666666666664</v>
      </c>
      <c r="O86" s="11" t="str">
        <f t="shared" si="46"/>
        <v>★★★</v>
      </c>
      <c r="Q86" s="1" t="s">
        <v>24</v>
      </c>
      <c r="V86" s="1" t="s">
        <v>323</v>
      </c>
    </row>
    <row r="87" spans="1:29">
      <c r="A87" s="17" t="s">
        <v>7</v>
      </c>
      <c r="B87" s="17" t="s">
        <v>598</v>
      </c>
      <c r="C87" s="17" t="s">
        <v>61</v>
      </c>
      <c r="G87" s="18">
        <f t="shared" si="57"/>
        <v>8</v>
      </c>
      <c r="H87" s="1" t="s">
        <v>275</v>
      </c>
      <c r="I87" s="1" t="str">
        <f t="shared" si="56"/>
        <v>A008</v>
      </c>
      <c r="J87" s="4" t="s">
        <v>6</v>
      </c>
      <c r="K87" s="2">
        <f t="shared" si="54"/>
        <v>2</v>
      </c>
      <c r="L87" s="2">
        <f t="shared" si="55"/>
        <v>2</v>
      </c>
      <c r="M87" s="2" cm="1">
        <f t="array" ref="M87">MATCH(TRUE,P87:AD87&lt;&gt;"",0)-1</f>
        <v>5</v>
      </c>
      <c r="N87" s="11">
        <f t="shared" si="45"/>
        <v>8.3333333333333321</v>
      </c>
      <c r="O87" s="11" t="str">
        <f t="shared" si="46"/>
        <v>★★</v>
      </c>
      <c r="U87" s="1" t="s">
        <v>273</v>
      </c>
      <c r="AC87" s="1" t="s">
        <v>559</v>
      </c>
    </row>
    <row r="88" spans="1:29">
      <c r="A88" s="17" t="s">
        <v>7</v>
      </c>
      <c r="B88" s="17" t="s">
        <v>598</v>
      </c>
      <c r="C88" s="17" t="s">
        <v>61</v>
      </c>
      <c r="G88" s="18">
        <f t="shared" si="57"/>
        <v>9</v>
      </c>
      <c r="H88" s="1" t="s">
        <v>178</v>
      </c>
      <c r="I88" s="1" t="str">
        <f t="shared" si="56"/>
        <v>A009</v>
      </c>
      <c r="J88" s="3" t="s">
        <v>5</v>
      </c>
      <c r="K88" s="2">
        <f t="shared" si="54"/>
        <v>2</v>
      </c>
      <c r="L88" s="2">
        <f t="shared" si="55"/>
        <v>2</v>
      </c>
      <c r="M88" s="2" cm="1">
        <f t="array" ref="M88">MATCH(TRUE,P88:AD88&lt;&gt;"",0)-1</f>
        <v>2</v>
      </c>
      <c r="N88" s="11">
        <f t="shared" si="45"/>
        <v>16.666666666666664</v>
      </c>
      <c r="O88" s="11" t="str">
        <f t="shared" si="46"/>
        <v>★★★</v>
      </c>
      <c r="R88" s="1" t="s">
        <v>59</v>
      </c>
      <c r="X88" s="1" t="s">
        <v>408</v>
      </c>
    </row>
    <row r="89" spans="1:29">
      <c r="A89" s="17" t="s">
        <v>7</v>
      </c>
      <c r="B89" s="17" t="s">
        <v>598</v>
      </c>
      <c r="C89" s="17" t="s">
        <v>61</v>
      </c>
      <c r="G89" s="18">
        <f t="shared" si="57"/>
        <v>10</v>
      </c>
      <c r="H89" s="1" t="s">
        <v>192</v>
      </c>
      <c r="I89" s="1" t="str">
        <f t="shared" si="56"/>
        <v>A010</v>
      </c>
      <c r="J89" s="3" t="s">
        <v>5</v>
      </c>
      <c r="K89" s="2">
        <f t="shared" si="54"/>
        <v>2</v>
      </c>
      <c r="L89" s="2">
        <f t="shared" si="55"/>
        <v>2</v>
      </c>
      <c r="M89" s="2" cm="1">
        <f t="array" ref="M89">MATCH(TRUE,P89:AD89&lt;&gt;"",0)-1</f>
        <v>3</v>
      </c>
      <c r="N89" s="11">
        <f t="shared" si="45"/>
        <v>16.666666666666664</v>
      </c>
      <c r="O89" s="11" t="str">
        <f t="shared" si="46"/>
        <v>★★★</v>
      </c>
      <c r="S89" s="1" t="s">
        <v>59</v>
      </c>
      <c r="W89" s="1" t="s">
        <v>372</v>
      </c>
    </row>
    <row r="90" spans="1:29">
      <c r="A90" s="17" t="s">
        <v>7</v>
      </c>
      <c r="B90" s="17" t="s">
        <v>598</v>
      </c>
      <c r="C90" s="1" t="s">
        <v>62</v>
      </c>
      <c r="D90" s="1" t="s">
        <v>135</v>
      </c>
      <c r="F90" s="2">
        <f>SUM(K90:K94)</f>
        <v>8</v>
      </c>
      <c r="G90" s="18">
        <f t="shared" si="57"/>
        <v>11</v>
      </c>
      <c r="H90" s="1" t="s">
        <v>107</v>
      </c>
      <c r="I90" s="1" t="str">
        <f t="shared" si="56"/>
        <v>A011</v>
      </c>
      <c r="J90" s="3" t="s">
        <v>5</v>
      </c>
      <c r="K90" s="2">
        <f t="shared" si="54"/>
        <v>1</v>
      </c>
      <c r="L90" s="2">
        <f t="shared" si="55"/>
        <v>1</v>
      </c>
      <c r="M90" s="2" cm="1">
        <f t="array" ref="M90">MATCH(TRUE,P90:AD90&lt;&gt;"",0)-1</f>
        <v>1</v>
      </c>
      <c r="N90" s="11">
        <f t="shared" si="45"/>
        <v>8.3333333333333321</v>
      </c>
      <c r="O90" s="11" t="str">
        <f t="shared" si="46"/>
        <v>★★</v>
      </c>
      <c r="Q90" s="1" t="s">
        <v>42</v>
      </c>
    </row>
    <row r="91" spans="1:29">
      <c r="A91" s="17" t="s">
        <v>7</v>
      </c>
      <c r="B91" s="17" t="s">
        <v>598</v>
      </c>
      <c r="C91" s="17" t="s">
        <v>62</v>
      </c>
      <c r="G91" s="18">
        <v>12</v>
      </c>
      <c r="H91" s="1" t="s">
        <v>179</v>
      </c>
      <c r="I91" s="1" t="str">
        <f t="shared" si="56"/>
        <v>A012</v>
      </c>
      <c r="J91" s="3" t="s">
        <v>5</v>
      </c>
      <c r="K91" s="2">
        <f t="shared" si="54"/>
        <v>1</v>
      </c>
      <c r="L91" s="2">
        <f t="shared" si="55"/>
        <v>1</v>
      </c>
      <c r="M91" s="2" cm="1">
        <f t="array" ref="M91">MATCH(TRUE,P91:AD91&lt;&gt;"",0)-1</f>
        <v>2</v>
      </c>
      <c r="N91" s="11">
        <f t="shared" si="45"/>
        <v>8.3333333333333321</v>
      </c>
      <c r="O91" s="11" t="str">
        <f t="shared" si="46"/>
        <v>★★</v>
      </c>
      <c r="R91" s="1" t="s">
        <v>63</v>
      </c>
    </row>
    <row r="92" spans="1:29">
      <c r="A92" s="17" t="s">
        <v>7</v>
      </c>
      <c r="B92" s="17" t="s">
        <v>598</v>
      </c>
      <c r="C92" s="17" t="s">
        <v>62</v>
      </c>
      <c r="G92" s="18">
        <v>13</v>
      </c>
      <c r="H92" s="1" t="s">
        <v>136</v>
      </c>
      <c r="I92" s="1" t="str">
        <f t="shared" si="56"/>
        <v>A013</v>
      </c>
      <c r="J92" s="3" t="s">
        <v>5</v>
      </c>
      <c r="K92" s="2">
        <f t="shared" si="54"/>
        <v>2</v>
      </c>
      <c r="L92" s="2">
        <f t="shared" si="55"/>
        <v>1</v>
      </c>
      <c r="M92" s="2" cm="1">
        <f t="array" ref="M92">MATCH(TRUE,P92:AD92&lt;&gt;"",0)-1</f>
        <v>0</v>
      </c>
      <c r="N92" s="11">
        <f t="shared" si="45"/>
        <v>8.3333333333333321</v>
      </c>
      <c r="O92" s="11" t="str">
        <f t="shared" si="46"/>
        <v>★★</v>
      </c>
      <c r="P92" s="1" t="s">
        <v>137</v>
      </c>
      <c r="X92" s="1" t="s">
        <v>411</v>
      </c>
    </row>
    <row r="93" spans="1:29">
      <c r="A93" s="17" t="s">
        <v>7</v>
      </c>
      <c r="B93" s="17" t="s">
        <v>598</v>
      </c>
      <c r="C93" s="17" t="s">
        <v>62</v>
      </c>
      <c r="G93" s="18">
        <v>14</v>
      </c>
      <c r="H93" s="1" t="s">
        <v>246</v>
      </c>
      <c r="I93" s="1" t="str">
        <f t="shared" si="56"/>
        <v>A014</v>
      </c>
      <c r="J93" s="3" t="s">
        <v>5</v>
      </c>
      <c r="K93" s="2">
        <f t="shared" si="54"/>
        <v>3</v>
      </c>
      <c r="L93" s="2">
        <f t="shared" si="55"/>
        <v>3</v>
      </c>
      <c r="M93" s="2" cm="1">
        <f t="array" ref="M93">MATCH(TRUE,P93:AD93&lt;&gt;"",0)-1</f>
        <v>4</v>
      </c>
      <c r="N93" s="11">
        <f t="shared" si="45"/>
        <v>25</v>
      </c>
      <c r="O93" s="11" t="str">
        <f t="shared" si="46"/>
        <v>★★★★</v>
      </c>
      <c r="T93" s="1" t="s">
        <v>247</v>
      </c>
      <c r="W93" s="1" t="s">
        <v>383</v>
      </c>
      <c r="AA93" s="1" t="s">
        <v>518</v>
      </c>
    </row>
    <row r="94" spans="1:29">
      <c r="A94" s="17" t="s">
        <v>7</v>
      </c>
      <c r="B94" s="17" t="s">
        <v>598</v>
      </c>
      <c r="C94" s="17" t="s">
        <v>62</v>
      </c>
      <c r="G94" s="18">
        <v>15</v>
      </c>
      <c r="H94" s="1" t="s">
        <v>406</v>
      </c>
      <c r="I94" s="1" t="str">
        <f t="shared" si="56"/>
        <v>A015</v>
      </c>
      <c r="J94" s="3" t="s">
        <v>5</v>
      </c>
      <c r="K94" s="2">
        <f t="shared" ref="K94" si="60">COUNTA(P94:AS94)</f>
        <v>1</v>
      </c>
      <c r="L94" s="2">
        <f t="shared" ref="L94" si="61">COUNTA(Q94:AT94)</f>
        <v>1</v>
      </c>
      <c r="M94" s="2" cm="1">
        <f t="array" ref="M94">MATCH(TRUE,P94:AD94&lt;&gt;"",0)-1</f>
        <v>8</v>
      </c>
      <c r="N94" s="11">
        <f t="shared" si="45"/>
        <v>8.3333333333333321</v>
      </c>
      <c r="O94" s="11" t="str">
        <f t="shared" si="46"/>
        <v>★★</v>
      </c>
      <c r="X94" s="1" t="s">
        <v>405</v>
      </c>
    </row>
    <row r="95" spans="1:29">
      <c r="A95" s="17" t="s">
        <v>7</v>
      </c>
      <c r="B95" s="17" t="s">
        <v>598</v>
      </c>
      <c r="C95" s="1" t="s">
        <v>429</v>
      </c>
      <c r="F95" s="2">
        <f>SUM(K95:K105)</f>
        <v>18</v>
      </c>
      <c r="G95" s="18">
        <v>16</v>
      </c>
      <c r="H95" s="1" t="s">
        <v>132</v>
      </c>
      <c r="I95" s="1" t="str">
        <f t="shared" si="56"/>
        <v>A016</v>
      </c>
      <c r="J95" s="3" t="s">
        <v>5</v>
      </c>
      <c r="K95" s="2">
        <f t="shared" si="54"/>
        <v>2</v>
      </c>
      <c r="L95" s="2">
        <f t="shared" si="55"/>
        <v>2</v>
      </c>
      <c r="M95" s="2" cm="1">
        <f t="array" ref="M95">MATCH(TRUE,P95:AD95&lt;&gt;"",0)-1</f>
        <v>1</v>
      </c>
      <c r="N95" s="11">
        <f t="shared" si="45"/>
        <v>8.3333333333333321</v>
      </c>
      <c r="O95" s="11" t="str">
        <f t="shared" si="46"/>
        <v>★★</v>
      </c>
      <c r="Q95" s="1" t="s">
        <v>45</v>
      </c>
      <c r="AC95" s="1" t="s">
        <v>579</v>
      </c>
    </row>
    <row r="96" spans="1:29">
      <c r="A96" s="17" t="s">
        <v>7</v>
      </c>
      <c r="B96" s="17" t="s">
        <v>598</v>
      </c>
      <c r="C96" s="17" t="s">
        <v>429</v>
      </c>
      <c r="G96" s="18">
        <v>17</v>
      </c>
      <c r="H96" s="1" t="s">
        <v>133</v>
      </c>
      <c r="I96" s="1" t="str">
        <f t="shared" si="56"/>
        <v>A017</v>
      </c>
      <c r="J96" s="3" t="s">
        <v>5</v>
      </c>
      <c r="K96" s="2">
        <f t="shared" si="54"/>
        <v>1</v>
      </c>
      <c r="L96" s="2">
        <f t="shared" si="55"/>
        <v>0</v>
      </c>
      <c r="M96" s="2" cm="1">
        <f t="array" ref="M96">MATCH(TRUE,P96:AD96&lt;&gt;"",0)-1</f>
        <v>0</v>
      </c>
      <c r="N96" s="11">
        <f t="shared" si="45"/>
        <v>0</v>
      </c>
      <c r="O96" s="11" t="str">
        <f t="shared" si="46"/>
        <v>★</v>
      </c>
      <c r="P96" s="1" t="s">
        <v>134</v>
      </c>
    </row>
    <row r="97" spans="1:29">
      <c r="A97" s="17" t="s">
        <v>7</v>
      </c>
      <c r="B97" s="17" t="s">
        <v>598</v>
      </c>
      <c r="C97" s="17" t="s">
        <v>429</v>
      </c>
      <c r="G97" s="18">
        <v>18</v>
      </c>
      <c r="H97" s="1" t="s">
        <v>67</v>
      </c>
      <c r="I97" s="1" t="str">
        <f t="shared" si="56"/>
        <v>A018</v>
      </c>
      <c r="J97" s="3" t="s">
        <v>5</v>
      </c>
      <c r="K97" s="2">
        <f t="shared" si="54"/>
        <v>2</v>
      </c>
      <c r="L97" s="2">
        <f t="shared" si="55"/>
        <v>2</v>
      </c>
      <c r="M97" s="2" cm="1">
        <f t="array" ref="M97">MATCH(TRUE,P97:AD97&lt;&gt;"",0)-1</f>
        <v>2</v>
      </c>
      <c r="N97" s="11">
        <f t="shared" si="45"/>
        <v>16.666666666666664</v>
      </c>
      <c r="O97" s="11" t="str">
        <f t="shared" si="46"/>
        <v>★★★</v>
      </c>
      <c r="R97" s="1" t="s">
        <v>68</v>
      </c>
      <c r="AB97" s="1" t="s">
        <v>563</v>
      </c>
    </row>
    <row r="98" spans="1:29">
      <c r="A98" s="17" t="s">
        <v>7</v>
      </c>
      <c r="B98" s="17" t="s">
        <v>598</v>
      </c>
      <c r="C98" s="17" t="s">
        <v>429</v>
      </c>
      <c r="G98" s="18">
        <v>19</v>
      </c>
      <c r="H98" s="1" t="s">
        <v>307</v>
      </c>
      <c r="I98" s="1" t="str">
        <f t="shared" si="56"/>
        <v>A019</v>
      </c>
      <c r="J98" s="3" t="s">
        <v>5</v>
      </c>
      <c r="K98" s="2">
        <f t="shared" ref="K98" si="62">COUNTA(P98:AS98)</f>
        <v>1</v>
      </c>
      <c r="L98" s="2">
        <f t="shared" ref="L98" si="63">COUNTA(Q98:AT98)</f>
        <v>1</v>
      </c>
      <c r="M98" s="2" cm="1">
        <f t="array" ref="M98">MATCH(TRUE,P98:AD98&lt;&gt;"",0)-1</f>
        <v>5</v>
      </c>
      <c r="N98" s="11">
        <f t="shared" si="45"/>
        <v>8.3333333333333321</v>
      </c>
      <c r="O98" s="11" t="str">
        <f t="shared" si="46"/>
        <v>★★</v>
      </c>
      <c r="U98" s="1" t="s">
        <v>256</v>
      </c>
    </row>
    <row r="99" spans="1:29">
      <c r="A99" s="17" t="s">
        <v>7</v>
      </c>
      <c r="B99" s="17" t="s">
        <v>598</v>
      </c>
      <c r="C99" s="17" t="s">
        <v>429</v>
      </c>
      <c r="G99" s="18">
        <v>20</v>
      </c>
      <c r="H99" s="1" t="s">
        <v>276</v>
      </c>
      <c r="I99" s="1" t="str">
        <f t="shared" si="56"/>
        <v>A020</v>
      </c>
      <c r="J99" s="3" t="s">
        <v>5</v>
      </c>
      <c r="K99" s="2">
        <f t="shared" ref="K99:L104" si="64">COUNTA(P99:AS99)</f>
        <v>2</v>
      </c>
      <c r="L99" s="2">
        <f t="shared" si="64"/>
        <v>2</v>
      </c>
      <c r="M99" s="2" cm="1">
        <f t="array" ref="M99">MATCH(TRUE,P99:AD99&lt;&gt;"",0)-1</f>
        <v>5</v>
      </c>
      <c r="N99" s="11">
        <f t="shared" si="45"/>
        <v>16.666666666666664</v>
      </c>
      <c r="O99" s="11" t="str">
        <f t="shared" si="46"/>
        <v>★★★</v>
      </c>
      <c r="U99" s="1" t="s">
        <v>277</v>
      </c>
      <c r="AA99" s="1" t="s">
        <v>497</v>
      </c>
    </row>
    <row r="100" spans="1:29">
      <c r="A100" s="17" t="s">
        <v>7</v>
      </c>
      <c r="B100" s="17" t="s">
        <v>598</v>
      </c>
      <c r="C100" s="17" t="s">
        <v>429</v>
      </c>
      <c r="G100" s="18">
        <v>21</v>
      </c>
      <c r="H100" s="1" t="s">
        <v>194</v>
      </c>
      <c r="I100" s="1" t="str">
        <f t="shared" si="56"/>
        <v>A021</v>
      </c>
      <c r="J100" s="3" t="s">
        <v>5</v>
      </c>
      <c r="K100" s="2">
        <f t="shared" si="64"/>
        <v>1</v>
      </c>
      <c r="L100" s="2">
        <f t="shared" si="64"/>
        <v>1</v>
      </c>
      <c r="M100" s="2" cm="1">
        <f t="array" ref="M100">MATCH(TRUE,P100:AD100&lt;&gt;"",0)-1</f>
        <v>3</v>
      </c>
      <c r="N100" s="11">
        <f t="shared" si="45"/>
        <v>8.3333333333333321</v>
      </c>
      <c r="O100" s="11" t="str">
        <f t="shared" si="46"/>
        <v>★★</v>
      </c>
      <c r="S100" s="1" t="s">
        <v>63</v>
      </c>
    </row>
    <row r="101" spans="1:29">
      <c r="A101" s="17" t="s">
        <v>7</v>
      </c>
      <c r="B101" s="17" t="s">
        <v>598</v>
      </c>
      <c r="C101" s="17" t="s">
        <v>429</v>
      </c>
      <c r="G101" s="18">
        <v>22</v>
      </c>
      <c r="H101" s="1" t="s">
        <v>230</v>
      </c>
      <c r="I101" s="1" t="str">
        <f t="shared" si="56"/>
        <v>A022</v>
      </c>
      <c r="J101" s="3" t="s">
        <v>5</v>
      </c>
      <c r="K101" s="2">
        <f t="shared" si="64"/>
        <v>2</v>
      </c>
      <c r="L101" s="2">
        <f t="shared" si="64"/>
        <v>2</v>
      </c>
      <c r="M101" s="2" cm="1">
        <f t="array" ref="M101">MATCH(TRUE,P101:AD101&lt;&gt;"",0)-1</f>
        <v>4</v>
      </c>
      <c r="N101" s="11">
        <f t="shared" si="45"/>
        <v>16.666666666666664</v>
      </c>
      <c r="O101" s="11" t="str">
        <f t="shared" si="46"/>
        <v>★★★</v>
      </c>
      <c r="T101" s="1" t="s">
        <v>231</v>
      </c>
      <c r="X101" s="1" t="s">
        <v>409</v>
      </c>
    </row>
    <row r="102" spans="1:29">
      <c r="A102" s="17" t="s">
        <v>7</v>
      </c>
      <c r="B102" s="17" t="s">
        <v>598</v>
      </c>
      <c r="C102" s="17" t="s">
        <v>429</v>
      </c>
      <c r="G102" s="18">
        <v>23</v>
      </c>
      <c r="H102" s="1" t="s">
        <v>430</v>
      </c>
      <c r="I102" s="1" t="str">
        <f t="shared" si="56"/>
        <v>A023</v>
      </c>
      <c r="J102" s="3" t="s">
        <v>5</v>
      </c>
      <c r="K102" s="2">
        <f t="shared" si="64"/>
        <v>2</v>
      </c>
      <c r="L102" s="2">
        <f t="shared" si="64"/>
        <v>2</v>
      </c>
      <c r="M102" s="2" cm="1">
        <f t="array" ref="M102">MATCH(TRUE,P102:AD102&lt;&gt;"",0)-1</f>
        <v>3</v>
      </c>
      <c r="N102" s="11">
        <f t="shared" si="45"/>
        <v>16.666666666666664</v>
      </c>
      <c r="O102" s="11" t="str">
        <f t="shared" si="46"/>
        <v>★★★</v>
      </c>
      <c r="S102" s="1" t="s">
        <v>45</v>
      </c>
      <c r="X102" s="1" t="s">
        <v>425</v>
      </c>
    </row>
    <row r="103" spans="1:29">
      <c r="A103" s="17" t="s">
        <v>7</v>
      </c>
      <c r="B103" s="17" t="s">
        <v>598</v>
      </c>
      <c r="C103" s="17" t="s">
        <v>429</v>
      </c>
      <c r="G103" s="18">
        <v>24</v>
      </c>
      <c r="H103" s="1" t="s">
        <v>431</v>
      </c>
      <c r="I103" s="1" t="str">
        <f t="shared" si="56"/>
        <v>A024</v>
      </c>
      <c r="J103" s="3" t="s">
        <v>5</v>
      </c>
      <c r="K103" s="2">
        <f t="shared" si="64"/>
        <v>2</v>
      </c>
      <c r="L103" s="2">
        <f t="shared" si="64"/>
        <v>1</v>
      </c>
      <c r="M103" s="2" cm="1">
        <f t="array" ref="M103">MATCH(TRUE,P103:AD103&lt;&gt;"",0)-1</f>
        <v>0</v>
      </c>
      <c r="N103" s="11">
        <f t="shared" si="45"/>
        <v>8.3333333333333321</v>
      </c>
      <c r="O103" s="11" t="str">
        <f t="shared" si="46"/>
        <v>★★</v>
      </c>
      <c r="P103" s="1" t="s">
        <v>167</v>
      </c>
      <c r="Y103" s="1" t="s">
        <v>481</v>
      </c>
    </row>
    <row r="104" spans="1:29">
      <c r="A104" s="17" t="s">
        <v>7</v>
      </c>
      <c r="B104" s="17" t="s">
        <v>598</v>
      </c>
      <c r="C104" s="17" t="s">
        <v>429</v>
      </c>
      <c r="G104" s="18">
        <v>25</v>
      </c>
      <c r="H104" s="1" t="s">
        <v>432</v>
      </c>
      <c r="I104" s="1" t="str">
        <f t="shared" si="56"/>
        <v>A025</v>
      </c>
      <c r="J104" s="3" t="s">
        <v>5</v>
      </c>
      <c r="K104" s="2">
        <f t="shared" si="64"/>
        <v>1</v>
      </c>
      <c r="L104" s="2">
        <f t="shared" si="64"/>
        <v>1</v>
      </c>
      <c r="M104" s="2" cm="1">
        <f t="array" ref="M104">MATCH(TRUE,P104:AD104&lt;&gt;"",0)-1</f>
        <v>6</v>
      </c>
      <c r="N104" s="11">
        <f t="shared" si="45"/>
        <v>8.3333333333333321</v>
      </c>
      <c r="O104" s="11" t="str">
        <f t="shared" si="46"/>
        <v>★★</v>
      </c>
      <c r="V104" s="1" t="s">
        <v>349</v>
      </c>
    </row>
    <row r="105" spans="1:29">
      <c r="A105" s="17" t="s">
        <v>7</v>
      </c>
      <c r="B105" s="17" t="s">
        <v>598</v>
      </c>
      <c r="C105" s="17" t="s">
        <v>429</v>
      </c>
      <c r="G105" s="18">
        <v>26</v>
      </c>
      <c r="H105" s="1" t="s">
        <v>433</v>
      </c>
      <c r="I105" s="1" t="str">
        <f t="shared" si="56"/>
        <v>A026</v>
      </c>
      <c r="J105" s="3" t="s">
        <v>5</v>
      </c>
      <c r="K105" s="2">
        <f t="shared" ref="K105" si="65">COUNTA(P105:AS105)</f>
        <v>2</v>
      </c>
      <c r="L105" s="2">
        <f t="shared" ref="L105" si="66">COUNTA(Q105:AT105)</f>
        <v>2</v>
      </c>
      <c r="M105" s="2" cm="1">
        <f t="array" ref="M105">MATCH(TRUE,P105:AD105&lt;&gt;"",0)-1</f>
        <v>7</v>
      </c>
      <c r="N105" s="11">
        <f t="shared" si="45"/>
        <v>16.666666666666664</v>
      </c>
      <c r="O105" s="11" t="str">
        <f t="shared" si="46"/>
        <v>★★★</v>
      </c>
      <c r="W105" s="1" t="s">
        <v>373</v>
      </c>
      <c r="AA105" s="1" t="s">
        <v>508</v>
      </c>
    </row>
    <row r="106" spans="1:29">
      <c r="A106" s="17" t="s">
        <v>7</v>
      </c>
      <c r="B106" s="17" t="s">
        <v>598</v>
      </c>
      <c r="C106" s="1" t="s">
        <v>64</v>
      </c>
      <c r="D106" s="1" t="s">
        <v>462</v>
      </c>
      <c r="F106" s="2">
        <f>SUM(K106:K112)</f>
        <v>14</v>
      </c>
      <c r="G106" s="18">
        <v>27</v>
      </c>
      <c r="H106" s="1" t="s">
        <v>98</v>
      </c>
      <c r="I106" s="1" t="str">
        <f t="shared" si="56"/>
        <v>A027</v>
      </c>
      <c r="J106" s="3" t="s">
        <v>5</v>
      </c>
      <c r="K106" s="2">
        <f>COUNTA(P106:AS106)</f>
        <v>3</v>
      </c>
      <c r="L106" s="2">
        <f>COUNTA(Q106:AT106)</f>
        <v>3</v>
      </c>
      <c r="M106" s="2" cm="1">
        <f t="array" ref="M106">MATCH(TRUE,P106:AD106&lt;&gt;"",0)-1</f>
        <v>1</v>
      </c>
      <c r="N106" s="11">
        <f t="shared" si="45"/>
        <v>25</v>
      </c>
      <c r="O106" s="11" t="str">
        <f t="shared" si="46"/>
        <v>★★★★</v>
      </c>
      <c r="Q106" s="1" t="s">
        <v>26</v>
      </c>
      <c r="T106" s="1" t="s">
        <v>227</v>
      </c>
      <c r="W106" s="1" t="s">
        <v>374</v>
      </c>
    </row>
    <row r="107" spans="1:29">
      <c r="A107" s="17" t="s">
        <v>7</v>
      </c>
      <c r="B107" s="17" t="s">
        <v>598</v>
      </c>
      <c r="C107" s="17" t="s">
        <v>64</v>
      </c>
      <c r="G107" s="18">
        <v>28</v>
      </c>
      <c r="H107" s="1" t="s">
        <v>195</v>
      </c>
      <c r="I107" s="1" t="str">
        <f t="shared" si="56"/>
        <v>A028</v>
      </c>
      <c r="J107" s="3" t="s">
        <v>5</v>
      </c>
      <c r="K107" s="2">
        <f t="shared" ref="K107:K155" si="67">COUNTA(P107:AS107)</f>
        <v>2</v>
      </c>
      <c r="L107" s="2">
        <f t="shared" ref="L107:L155" si="68">COUNTA(Q107:AT107)</f>
        <v>2</v>
      </c>
      <c r="M107" s="2" cm="1">
        <f t="array" ref="M107">MATCH(TRUE,P107:AD107&lt;&gt;"",0)-1</f>
        <v>3</v>
      </c>
      <c r="N107" s="11">
        <f t="shared" si="45"/>
        <v>8.3333333333333321</v>
      </c>
      <c r="O107" s="11" t="str">
        <f t="shared" si="46"/>
        <v>★★</v>
      </c>
      <c r="S107" s="1" t="s">
        <v>66</v>
      </c>
      <c r="AC107" s="1" t="s">
        <v>561</v>
      </c>
    </row>
    <row r="108" spans="1:29">
      <c r="A108" s="17" t="s">
        <v>7</v>
      </c>
      <c r="B108" s="17" t="s">
        <v>598</v>
      </c>
      <c r="C108" s="17" t="s">
        <v>64</v>
      </c>
      <c r="G108" s="18">
        <v>29</v>
      </c>
      <c r="H108" s="1" t="s">
        <v>460</v>
      </c>
      <c r="I108" s="1" t="str">
        <f t="shared" si="56"/>
        <v>A029</v>
      </c>
      <c r="J108" s="3" t="s">
        <v>5</v>
      </c>
      <c r="K108" s="2">
        <f t="shared" si="67"/>
        <v>1</v>
      </c>
      <c r="L108" s="2">
        <f t="shared" si="68"/>
        <v>1</v>
      </c>
      <c r="M108" s="2" cm="1">
        <f t="array" ref="M108">MATCH(TRUE,P108:AD108&lt;&gt;"",0)-1</f>
        <v>9</v>
      </c>
      <c r="N108" s="11">
        <f t="shared" si="45"/>
        <v>8.3333333333333321</v>
      </c>
      <c r="O108" s="11" t="str">
        <f t="shared" si="46"/>
        <v>★★</v>
      </c>
      <c r="Y108" s="1" t="s">
        <v>66</v>
      </c>
    </row>
    <row r="109" spans="1:29">
      <c r="A109" s="17" t="s">
        <v>7</v>
      </c>
      <c r="B109" s="17" t="s">
        <v>598</v>
      </c>
      <c r="C109" s="17" t="s">
        <v>64</v>
      </c>
      <c r="G109" s="18">
        <v>30</v>
      </c>
      <c r="H109" s="1" t="s">
        <v>506</v>
      </c>
      <c r="I109" s="1" t="str">
        <f t="shared" si="56"/>
        <v>A030</v>
      </c>
      <c r="J109" s="3" t="s">
        <v>5</v>
      </c>
      <c r="K109" s="2">
        <f t="shared" ref="K109" si="69">COUNTA(P109:AS109)</f>
        <v>1</v>
      </c>
      <c r="L109" s="2">
        <f t="shared" ref="L109" si="70">COUNTA(Q109:AT109)</f>
        <v>1</v>
      </c>
      <c r="M109" s="2" cm="1">
        <f t="array" ref="M109">MATCH(TRUE,P109:AD109&lt;&gt;"",0)-1</f>
        <v>10</v>
      </c>
      <c r="N109" s="11">
        <f t="shared" si="45"/>
        <v>8.3333333333333321</v>
      </c>
      <c r="O109" s="11" t="str">
        <f t="shared" si="46"/>
        <v>★★</v>
      </c>
      <c r="Z109" s="1" t="s">
        <v>505</v>
      </c>
    </row>
    <row r="110" spans="1:29">
      <c r="A110" s="17" t="s">
        <v>7</v>
      </c>
      <c r="B110" s="17" t="s">
        <v>598</v>
      </c>
      <c r="C110" s="17" t="s">
        <v>64</v>
      </c>
      <c r="D110" s="1" t="s">
        <v>461</v>
      </c>
      <c r="G110" s="18">
        <v>31</v>
      </c>
      <c r="H110" s="1" t="s">
        <v>325</v>
      </c>
      <c r="I110" s="1" t="str">
        <f t="shared" si="56"/>
        <v>A031</v>
      </c>
      <c r="J110" s="3" t="s">
        <v>5</v>
      </c>
      <c r="K110" s="2">
        <f t="shared" ref="K110" si="71">COUNTA(P110:AS110)</f>
        <v>2</v>
      </c>
      <c r="L110" s="2">
        <f t="shared" ref="L110" si="72">COUNTA(Q110:AT110)</f>
        <v>2</v>
      </c>
      <c r="M110" s="2" cm="1">
        <f t="array" ref="M110">MATCH(TRUE,P110:AD110&lt;&gt;"",0)-1</f>
        <v>6</v>
      </c>
      <c r="N110" s="11">
        <f t="shared" si="45"/>
        <v>16.666666666666664</v>
      </c>
      <c r="O110" s="11" t="str">
        <f t="shared" si="46"/>
        <v>★★★</v>
      </c>
      <c r="V110" s="1" t="s">
        <v>326</v>
      </c>
      <c r="Z110" s="1" t="s">
        <v>504</v>
      </c>
    </row>
    <row r="111" spans="1:29">
      <c r="A111" s="17" t="s">
        <v>7</v>
      </c>
      <c r="B111" s="17" t="s">
        <v>598</v>
      </c>
      <c r="C111" s="17" t="s">
        <v>64</v>
      </c>
      <c r="G111" s="18">
        <v>32</v>
      </c>
      <c r="H111" s="1" t="s">
        <v>229</v>
      </c>
      <c r="I111" s="1" t="str">
        <f t="shared" si="56"/>
        <v>A032</v>
      </c>
      <c r="J111" s="4" t="s">
        <v>6</v>
      </c>
      <c r="K111" s="2">
        <f t="shared" si="67"/>
        <v>3</v>
      </c>
      <c r="L111" s="2">
        <f t="shared" si="68"/>
        <v>3</v>
      </c>
      <c r="M111" s="2" cm="1">
        <f t="array" ref="M111">MATCH(TRUE,P111:AD111&lt;&gt;"",0)-1</f>
        <v>4</v>
      </c>
      <c r="N111" s="11">
        <f t="shared" si="45"/>
        <v>25</v>
      </c>
      <c r="O111" s="11" t="str">
        <f t="shared" si="46"/>
        <v>★★★★</v>
      </c>
      <c r="T111" s="1" t="s">
        <v>59</v>
      </c>
      <c r="X111" s="1" t="s">
        <v>407</v>
      </c>
      <c r="AA111" s="1" t="s">
        <v>496</v>
      </c>
    </row>
    <row r="112" spans="1:29">
      <c r="A112" s="17" t="s">
        <v>7</v>
      </c>
      <c r="B112" s="17" t="s">
        <v>598</v>
      </c>
      <c r="C112" s="17" t="s">
        <v>64</v>
      </c>
      <c r="G112" s="18">
        <v>33</v>
      </c>
      <c r="H112" s="1" t="s">
        <v>280</v>
      </c>
      <c r="I112" s="1" t="str">
        <f t="shared" si="56"/>
        <v>A033</v>
      </c>
      <c r="J112" s="3" t="s">
        <v>5</v>
      </c>
      <c r="K112" s="2">
        <f t="shared" si="67"/>
        <v>2</v>
      </c>
      <c r="L112" s="2">
        <f t="shared" si="68"/>
        <v>2</v>
      </c>
      <c r="M112" s="2" cm="1">
        <f t="array" ref="M112">MATCH(TRUE,P112:AD112&lt;&gt;"",0)-1</f>
        <v>5</v>
      </c>
      <c r="N112" s="11">
        <f t="shared" si="45"/>
        <v>16.666666666666664</v>
      </c>
      <c r="O112" s="11" t="str">
        <f t="shared" si="46"/>
        <v>★★★</v>
      </c>
      <c r="U112" s="1" t="s">
        <v>279</v>
      </c>
      <c r="AA112" s="1" t="s">
        <v>505</v>
      </c>
    </row>
    <row r="113" spans="1:29">
      <c r="A113" s="17" t="s">
        <v>7</v>
      </c>
      <c r="B113" s="17" t="s">
        <v>598</v>
      </c>
      <c r="C113" s="1" t="s">
        <v>65</v>
      </c>
      <c r="F113" s="2">
        <f>SUM(K113:K119)</f>
        <v>14</v>
      </c>
      <c r="G113" s="18">
        <v>34</v>
      </c>
      <c r="H113" s="1" t="s">
        <v>180</v>
      </c>
      <c r="I113" s="1" t="str">
        <f t="shared" si="56"/>
        <v>A034</v>
      </c>
      <c r="J113" s="3" t="s">
        <v>5</v>
      </c>
      <c r="K113" s="2">
        <f t="shared" si="67"/>
        <v>2</v>
      </c>
      <c r="L113" s="2">
        <f t="shared" si="68"/>
        <v>2</v>
      </c>
      <c r="M113" s="2" cm="1">
        <f t="array" ref="M113">MATCH(TRUE,P113:AD113&lt;&gt;"",0)-1</f>
        <v>2</v>
      </c>
      <c r="N113" s="11">
        <f t="shared" si="45"/>
        <v>16.666666666666664</v>
      </c>
      <c r="O113" s="11" t="str">
        <f t="shared" si="46"/>
        <v>★★★</v>
      </c>
      <c r="R113" s="1" t="s">
        <v>66</v>
      </c>
      <c r="X113" s="1" t="s">
        <v>410</v>
      </c>
    </row>
    <row r="114" spans="1:29">
      <c r="A114" s="17" t="s">
        <v>7</v>
      </c>
      <c r="B114" s="17" t="s">
        <v>598</v>
      </c>
      <c r="C114" s="17" t="s">
        <v>65</v>
      </c>
      <c r="G114" s="18">
        <v>35</v>
      </c>
      <c r="H114" s="1" t="s">
        <v>507</v>
      </c>
      <c r="I114" s="1" t="str">
        <f t="shared" si="56"/>
        <v>A035</v>
      </c>
      <c r="J114" s="3" t="s">
        <v>5</v>
      </c>
      <c r="K114" s="2">
        <f t="shared" si="67"/>
        <v>2</v>
      </c>
      <c r="L114" s="2">
        <f t="shared" si="68"/>
        <v>2</v>
      </c>
      <c r="M114" s="2" cm="1">
        <f t="array" ref="M114">MATCH(TRUE,P114:AD114&lt;&gt;"",0)-1</f>
        <v>2</v>
      </c>
      <c r="N114" s="11">
        <f t="shared" si="45"/>
        <v>16.666666666666664</v>
      </c>
      <c r="O114" s="11" t="str">
        <f t="shared" si="46"/>
        <v>★★★</v>
      </c>
      <c r="R114" s="1" t="s">
        <v>45</v>
      </c>
      <c r="Z114" s="1" t="s">
        <v>508</v>
      </c>
    </row>
    <row r="115" spans="1:29">
      <c r="A115" s="17" t="s">
        <v>7</v>
      </c>
      <c r="B115" s="17" t="s">
        <v>598</v>
      </c>
      <c r="C115" s="17" t="s">
        <v>65</v>
      </c>
      <c r="G115" s="18">
        <v>36</v>
      </c>
      <c r="H115" s="1" t="s">
        <v>130</v>
      </c>
      <c r="I115" s="1" t="str">
        <f t="shared" si="56"/>
        <v>A036</v>
      </c>
      <c r="J115" s="4" t="s">
        <v>6</v>
      </c>
      <c r="K115" s="2">
        <f t="shared" si="67"/>
        <v>2</v>
      </c>
      <c r="L115" s="2">
        <f t="shared" si="68"/>
        <v>1</v>
      </c>
      <c r="M115" s="2" cm="1">
        <f t="array" ref="M115">MATCH(TRUE,P115:AD115&lt;&gt;"",0)-1</f>
        <v>0</v>
      </c>
      <c r="N115" s="11">
        <f t="shared" si="45"/>
        <v>8.3333333333333321</v>
      </c>
      <c r="O115" s="11" t="str">
        <f t="shared" si="46"/>
        <v>★★</v>
      </c>
      <c r="P115" s="1" t="s">
        <v>131</v>
      </c>
      <c r="AB115" s="1" t="s">
        <v>560</v>
      </c>
    </row>
    <row r="116" spans="1:29">
      <c r="A116" s="17" t="s">
        <v>7</v>
      </c>
      <c r="B116" s="17" t="s">
        <v>598</v>
      </c>
      <c r="C116" s="17" t="s">
        <v>65</v>
      </c>
      <c r="G116" s="18">
        <v>37</v>
      </c>
      <c r="H116" s="1" t="s">
        <v>463</v>
      </c>
      <c r="I116" s="1" t="str">
        <f t="shared" si="56"/>
        <v>A037</v>
      </c>
      <c r="J116" s="3" t="s">
        <v>5</v>
      </c>
      <c r="K116" s="2">
        <f t="shared" ref="K116" si="73">COUNTA(P116:AS116)</f>
        <v>2</v>
      </c>
      <c r="L116" s="2">
        <f t="shared" ref="L116" si="74">COUNTA(Q116:AT116)</f>
        <v>2</v>
      </c>
      <c r="M116" s="2" cm="1">
        <f t="array" ref="M116">MATCH(TRUE,P116:AD116&lt;&gt;"",0)-1</f>
        <v>1</v>
      </c>
      <c r="N116" s="11">
        <f t="shared" si="45"/>
        <v>16.666666666666664</v>
      </c>
      <c r="O116" s="11" t="str">
        <f t="shared" si="46"/>
        <v>★★★</v>
      </c>
      <c r="Q116" s="1" t="s">
        <v>27</v>
      </c>
      <c r="Y116" s="1" t="s">
        <v>464</v>
      </c>
    </row>
    <row r="117" spans="1:29">
      <c r="A117" s="17" t="s">
        <v>7</v>
      </c>
      <c r="B117" s="17" t="s">
        <v>598</v>
      </c>
      <c r="C117" s="17" t="s">
        <v>65</v>
      </c>
      <c r="G117" s="18">
        <v>38</v>
      </c>
      <c r="H117" s="1" t="s">
        <v>253</v>
      </c>
      <c r="I117" s="1" t="str">
        <f t="shared" si="56"/>
        <v>A038</v>
      </c>
      <c r="J117" s="3" t="s">
        <v>5</v>
      </c>
      <c r="K117" s="2">
        <f t="shared" si="67"/>
        <v>3</v>
      </c>
      <c r="L117" s="2">
        <f t="shared" si="68"/>
        <v>3</v>
      </c>
      <c r="M117" s="2" cm="1">
        <f t="array" ref="M117">MATCH(TRUE,P117:AD117&lt;&gt;"",0)-1</f>
        <v>4</v>
      </c>
      <c r="N117" s="11">
        <f t="shared" si="45"/>
        <v>25</v>
      </c>
      <c r="O117" s="11" t="str">
        <f t="shared" si="46"/>
        <v>★★★★</v>
      </c>
      <c r="T117" s="1" t="s">
        <v>254</v>
      </c>
      <c r="AA117" s="1" t="s">
        <v>528</v>
      </c>
      <c r="AB117" s="1" t="s">
        <v>578</v>
      </c>
    </row>
    <row r="118" spans="1:29">
      <c r="A118" s="17" t="s">
        <v>7</v>
      </c>
      <c r="B118" s="17" t="s">
        <v>598</v>
      </c>
      <c r="C118" s="17" t="s">
        <v>65</v>
      </c>
      <c r="G118" s="18">
        <v>39</v>
      </c>
      <c r="H118" s="1" t="s">
        <v>281</v>
      </c>
      <c r="I118" s="1" t="str">
        <f t="shared" si="56"/>
        <v>A039</v>
      </c>
      <c r="J118" s="3" t="s">
        <v>5</v>
      </c>
      <c r="K118" s="2">
        <f t="shared" si="67"/>
        <v>2</v>
      </c>
      <c r="L118" s="2">
        <f t="shared" si="68"/>
        <v>2</v>
      </c>
      <c r="M118" s="2" cm="1">
        <f t="array" ref="M118">MATCH(TRUE,P118:AD118&lt;&gt;"",0)-1</f>
        <v>5</v>
      </c>
      <c r="N118" s="11">
        <f t="shared" si="45"/>
        <v>8.3333333333333321</v>
      </c>
      <c r="O118" s="11" t="str">
        <f t="shared" si="46"/>
        <v>★★</v>
      </c>
      <c r="U118" s="1" t="s">
        <v>282</v>
      </c>
      <c r="AC118" s="1" t="s">
        <v>560</v>
      </c>
    </row>
    <row r="119" spans="1:29">
      <c r="A119" s="17" t="s">
        <v>7</v>
      </c>
      <c r="B119" s="17" t="s">
        <v>598</v>
      </c>
      <c r="C119" s="17" t="s">
        <v>65</v>
      </c>
      <c r="G119" s="18">
        <v>40</v>
      </c>
      <c r="H119" s="1" t="s">
        <v>327</v>
      </c>
      <c r="I119" s="1" t="str">
        <f t="shared" si="56"/>
        <v>A040</v>
      </c>
      <c r="J119" s="3" t="s">
        <v>5</v>
      </c>
      <c r="K119" s="2">
        <f t="shared" ref="K119" si="75">COUNTA(P119:AS119)</f>
        <v>1</v>
      </c>
      <c r="L119" s="2">
        <f t="shared" ref="L119" si="76">COUNTA(Q119:AT119)</f>
        <v>1</v>
      </c>
      <c r="M119" s="2" cm="1">
        <f t="array" ref="M119">MATCH(TRUE,P119:AD119&lt;&gt;"",0)-1</f>
        <v>6</v>
      </c>
      <c r="N119" s="11">
        <f t="shared" si="45"/>
        <v>8.3333333333333321</v>
      </c>
      <c r="O119" s="11" t="str">
        <f t="shared" si="46"/>
        <v>★★</v>
      </c>
      <c r="V119" s="1" t="s">
        <v>328</v>
      </c>
    </row>
    <row r="120" spans="1:29">
      <c r="A120" s="17" t="s">
        <v>7</v>
      </c>
      <c r="B120" s="17" t="s">
        <v>598</v>
      </c>
      <c r="C120" s="17" t="s">
        <v>65</v>
      </c>
      <c r="G120" s="18">
        <v>41</v>
      </c>
      <c r="H120" s="1" t="s">
        <v>562</v>
      </c>
      <c r="I120" s="1" t="str">
        <f t="shared" si="56"/>
        <v>A041</v>
      </c>
      <c r="J120" s="3" t="s">
        <v>5</v>
      </c>
      <c r="K120" s="2">
        <f t="shared" ref="K120" si="77">COUNTA(P120:AS120)</f>
        <v>1</v>
      </c>
      <c r="L120" s="2">
        <f t="shared" ref="L120" si="78">COUNTA(Q120:AT120)</f>
        <v>1</v>
      </c>
      <c r="M120" s="2" cm="1">
        <f t="array" ref="M120">MATCH(TRUE,P120:AD120&lt;&gt;"",0)-1</f>
        <v>12</v>
      </c>
      <c r="N120" s="11">
        <f t="shared" si="45"/>
        <v>8.3333333333333321</v>
      </c>
      <c r="O120" s="11" t="str">
        <f t="shared" si="46"/>
        <v>★★</v>
      </c>
      <c r="AB120" s="1" t="s">
        <v>561</v>
      </c>
    </row>
    <row r="121" spans="1:29">
      <c r="A121" s="17" t="s">
        <v>7</v>
      </c>
      <c r="B121" s="17" t="s">
        <v>598</v>
      </c>
      <c r="C121" s="1" t="s">
        <v>8</v>
      </c>
      <c r="D121" s="1" t="s">
        <v>127</v>
      </c>
      <c r="F121" s="2">
        <f>SUM(K121:K122)</f>
        <v>4</v>
      </c>
      <c r="G121" s="18">
        <v>42</v>
      </c>
      <c r="H121" s="1" t="s">
        <v>102</v>
      </c>
      <c r="I121" s="1" t="str">
        <f t="shared" si="56"/>
        <v>A042</v>
      </c>
      <c r="J121" s="3" t="s">
        <v>5</v>
      </c>
      <c r="K121" s="2">
        <f t="shared" si="67"/>
        <v>2</v>
      </c>
      <c r="L121" s="2">
        <f t="shared" si="68"/>
        <v>2</v>
      </c>
      <c r="M121" s="2" cm="1">
        <f t="array" ref="M121">MATCH(TRUE,P121:AD121&lt;&gt;"",0)-1</f>
        <v>1</v>
      </c>
      <c r="N121" s="11">
        <f t="shared" si="45"/>
        <v>16.666666666666664</v>
      </c>
      <c r="O121" s="11" t="str">
        <f t="shared" si="46"/>
        <v>★★★</v>
      </c>
      <c r="Q121" s="1" t="s">
        <v>44</v>
      </c>
      <c r="U121" s="1" t="s">
        <v>254</v>
      </c>
    </row>
    <row r="122" spans="1:29">
      <c r="A122" s="17" t="s">
        <v>7</v>
      </c>
      <c r="B122" s="17" t="s">
        <v>598</v>
      </c>
      <c r="C122" s="17" t="s">
        <v>8</v>
      </c>
      <c r="G122" s="18">
        <v>43</v>
      </c>
      <c r="H122" s="16" t="s">
        <v>193</v>
      </c>
      <c r="I122" s="1" t="str">
        <f t="shared" si="56"/>
        <v>A043</v>
      </c>
      <c r="J122" s="4" t="s">
        <v>6</v>
      </c>
      <c r="K122" s="2">
        <f t="shared" si="67"/>
        <v>2</v>
      </c>
      <c r="L122" s="2">
        <f t="shared" si="68"/>
        <v>2</v>
      </c>
      <c r="M122" s="2" cm="1">
        <f t="array" ref="M122">MATCH(TRUE,P122:AD122&lt;&gt;"",0)-1</f>
        <v>3</v>
      </c>
      <c r="N122" s="11">
        <f t="shared" si="45"/>
        <v>16.666666666666664</v>
      </c>
      <c r="O122" s="11" t="str">
        <f t="shared" si="46"/>
        <v>★★★</v>
      </c>
      <c r="S122" s="1" t="s">
        <v>60</v>
      </c>
      <c r="AB122" s="1" t="s">
        <v>559</v>
      </c>
    </row>
    <row r="123" spans="1:29">
      <c r="A123" s="17" t="s">
        <v>7</v>
      </c>
      <c r="B123" s="17" t="s">
        <v>598</v>
      </c>
      <c r="C123" s="17" t="s">
        <v>8</v>
      </c>
      <c r="D123" s="1" t="s">
        <v>126</v>
      </c>
      <c r="F123" s="2">
        <f>SUM(K123:K127)</f>
        <v>12</v>
      </c>
      <c r="G123" s="18">
        <v>44</v>
      </c>
      <c r="H123" s="1" t="s">
        <v>99</v>
      </c>
      <c r="I123" s="1" t="str">
        <f t="shared" si="56"/>
        <v>A044</v>
      </c>
      <c r="J123" s="3" t="s">
        <v>5</v>
      </c>
      <c r="K123" s="2">
        <f t="shared" si="67"/>
        <v>2</v>
      </c>
      <c r="L123" s="2">
        <f t="shared" si="68"/>
        <v>2</v>
      </c>
      <c r="M123" s="2" cm="1">
        <f t="array" ref="M123">MATCH(TRUE,P123:AD123&lt;&gt;"",0)-1</f>
        <v>1</v>
      </c>
      <c r="N123" s="11">
        <f t="shared" si="45"/>
        <v>16.666666666666664</v>
      </c>
      <c r="O123" s="11" t="str">
        <f t="shared" si="46"/>
        <v>★★★</v>
      </c>
      <c r="Q123" s="1" t="s">
        <v>28</v>
      </c>
      <c r="Y123" s="1" t="s">
        <v>459</v>
      </c>
    </row>
    <row r="124" spans="1:29">
      <c r="A124" s="17" t="s">
        <v>7</v>
      </c>
      <c r="B124" s="17" t="s">
        <v>598</v>
      </c>
      <c r="C124" s="17" t="s">
        <v>8</v>
      </c>
      <c r="G124" s="18">
        <v>45</v>
      </c>
      <c r="H124" s="1" t="s">
        <v>177</v>
      </c>
      <c r="I124" s="1" t="str">
        <f t="shared" si="56"/>
        <v>A045</v>
      </c>
      <c r="J124" s="3" t="s">
        <v>5</v>
      </c>
      <c r="K124" s="2">
        <f t="shared" si="67"/>
        <v>2</v>
      </c>
      <c r="L124" s="2">
        <f t="shared" si="68"/>
        <v>2</v>
      </c>
      <c r="M124" s="2" cm="1">
        <f t="array" ref="M124">MATCH(TRUE,P124:AD124&lt;&gt;"",0)-1</f>
        <v>2</v>
      </c>
      <c r="N124" s="11">
        <f t="shared" si="45"/>
        <v>16.666666666666664</v>
      </c>
      <c r="O124" s="11" t="str">
        <f t="shared" si="46"/>
        <v>★★★</v>
      </c>
      <c r="R124" s="1" t="s">
        <v>58</v>
      </c>
      <c r="U124" s="1" t="s">
        <v>272</v>
      </c>
    </row>
    <row r="125" spans="1:29">
      <c r="A125" s="17" t="s">
        <v>7</v>
      </c>
      <c r="B125" s="17" t="s">
        <v>598</v>
      </c>
      <c r="C125" s="17" t="s">
        <v>8</v>
      </c>
      <c r="G125" s="18">
        <v>46</v>
      </c>
      <c r="H125" s="1" t="s">
        <v>196</v>
      </c>
      <c r="I125" s="1" t="str">
        <f t="shared" si="56"/>
        <v>A046</v>
      </c>
      <c r="J125" s="3" t="s">
        <v>5</v>
      </c>
      <c r="K125" s="2">
        <f t="shared" si="67"/>
        <v>2</v>
      </c>
      <c r="L125" s="2">
        <f t="shared" si="68"/>
        <v>2</v>
      </c>
      <c r="M125" s="2" cm="1">
        <f t="array" ref="M125">MATCH(TRUE,P125:AD125&lt;&gt;"",0)-1</f>
        <v>3</v>
      </c>
      <c r="N125" s="11">
        <f t="shared" si="45"/>
        <v>16.666666666666664</v>
      </c>
      <c r="O125" s="11" t="str">
        <f t="shared" si="46"/>
        <v>★★★</v>
      </c>
      <c r="S125" s="1" t="s">
        <v>68</v>
      </c>
      <c r="V125" s="1" t="s">
        <v>329</v>
      </c>
    </row>
    <row r="126" spans="1:29">
      <c r="A126" s="17" t="s">
        <v>7</v>
      </c>
      <c r="B126" s="17" t="s">
        <v>598</v>
      </c>
      <c r="C126" s="17" t="s">
        <v>8</v>
      </c>
      <c r="G126" s="18">
        <v>47</v>
      </c>
      <c r="H126" s="1" t="s">
        <v>495</v>
      </c>
      <c r="I126" s="1" t="str">
        <f t="shared" si="56"/>
        <v>A047</v>
      </c>
      <c r="J126" s="5" t="s">
        <v>80</v>
      </c>
      <c r="K126" s="2">
        <f t="shared" si="67"/>
        <v>4</v>
      </c>
      <c r="L126" s="2">
        <f t="shared" si="68"/>
        <v>3</v>
      </c>
      <c r="M126" s="2" cm="1">
        <f t="array" ref="M126">MATCH(TRUE,P126:AD126&lt;&gt;"",0)-1</f>
        <v>0</v>
      </c>
      <c r="N126" s="11">
        <f t="shared" si="45"/>
        <v>16.666666666666664</v>
      </c>
      <c r="O126" s="11" t="str">
        <f t="shared" si="46"/>
        <v>★★★</v>
      </c>
      <c r="P126" s="1" t="s">
        <v>125</v>
      </c>
      <c r="X126" s="1" t="s">
        <v>404</v>
      </c>
      <c r="Z126" s="1" t="s">
        <v>494</v>
      </c>
      <c r="AC126" s="1" t="s">
        <v>555</v>
      </c>
    </row>
    <row r="127" spans="1:29">
      <c r="A127" s="17" t="s">
        <v>7</v>
      </c>
      <c r="B127" s="17" t="s">
        <v>598</v>
      </c>
      <c r="C127" s="17" t="s">
        <v>8</v>
      </c>
      <c r="G127" s="18">
        <v>48</v>
      </c>
      <c r="H127" s="1" t="s">
        <v>226</v>
      </c>
      <c r="I127" s="1" t="str">
        <f t="shared" si="56"/>
        <v>A048</v>
      </c>
      <c r="J127" s="3" t="s">
        <v>5</v>
      </c>
      <c r="K127" s="2">
        <f t="shared" si="67"/>
        <v>2</v>
      </c>
      <c r="L127" s="2">
        <f t="shared" si="68"/>
        <v>2</v>
      </c>
      <c r="M127" s="2" cm="1">
        <f t="array" ref="M127">MATCH(TRUE,P127:AD127&lt;&gt;"",0)-1</f>
        <v>4</v>
      </c>
      <c r="N127" s="11">
        <f t="shared" si="45"/>
        <v>16.666666666666664</v>
      </c>
      <c r="O127" s="11" t="str">
        <f t="shared" si="46"/>
        <v>★★★</v>
      </c>
      <c r="T127" s="1" t="s">
        <v>60</v>
      </c>
      <c r="W127" s="1" t="s">
        <v>388</v>
      </c>
    </row>
    <row r="128" spans="1:29">
      <c r="A128" s="17" t="s">
        <v>7</v>
      </c>
      <c r="B128" s="17" t="s">
        <v>598</v>
      </c>
      <c r="C128" s="17" t="s">
        <v>8</v>
      </c>
      <c r="G128" s="18">
        <v>49</v>
      </c>
      <c r="H128" s="1" t="s">
        <v>534</v>
      </c>
      <c r="I128" s="1" t="str">
        <f t="shared" si="56"/>
        <v>A049</v>
      </c>
      <c r="J128" s="3" t="s">
        <v>5</v>
      </c>
      <c r="K128" s="2">
        <f t="shared" ref="K128" si="79">COUNTA(P128:AS128)</f>
        <v>1</v>
      </c>
      <c r="L128" s="2">
        <f t="shared" ref="L128" si="80">COUNTA(Q128:AT128)</f>
        <v>1</v>
      </c>
      <c r="M128" s="2" cm="1">
        <f t="array" ref="M128">MATCH(TRUE,P128:AD128&lt;&gt;"",0)-1</f>
        <v>11</v>
      </c>
      <c r="N128" s="11">
        <f t="shared" si="45"/>
        <v>8.3333333333333321</v>
      </c>
      <c r="O128" s="11" t="str">
        <f t="shared" si="46"/>
        <v>★★</v>
      </c>
      <c r="AA128" s="1" t="s">
        <v>504</v>
      </c>
    </row>
    <row r="129" spans="1:29">
      <c r="A129" s="17" t="s">
        <v>7</v>
      </c>
      <c r="B129" s="17" t="s">
        <v>598</v>
      </c>
      <c r="C129" s="17" t="s">
        <v>8</v>
      </c>
      <c r="D129" s="1" t="s">
        <v>283</v>
      </c>
      <c r="F129" s="2">
        <f>SUM(K129:K130)</f>
        <v>2</v>
      </c>
      <c r="G129" s="18">
        <v>50</v>
      </c>
      <c r="H129" s="1" t="s">
        <v>255</v>
      </c>
      <c r="I129" s="1" t="str">
        <f t="shared" si="56"/>
        <v>A050</v>
      </c>
      <c r="J129" s="3" t="s">
        <v>5</v>
      </c>
      <c r="K129" s="2">
        <f t="shared" si="67"/>
        <v>1</v>
      </c>
      <c r="L129" s="2">
        <f t="shared" si="68"/>
        <v>1</v>
      </c>
      <c r="M129" s="2" cm="1">
        <f t="array" ref="M129">MATCH(TRUE,P129:AD129&lt;&gt;"",0)-1</f>
        <v>4</v>
      </c>
      <c r="N129" s="11">
        <f t="shared" ref="N129:N192" si="81">COUNTA(Q129:AB129)/COUNTA($Q$1:$AB$1)*100</f>
        <v>8.3333333333333321</v>
      </c>
      <c r="O129" s="11" t="str">
        <f t="shared" ref="O129:O192" si="82">IF(N129&gt;=33,"★★★★★",IF(N129&gt;=25,"★★★★",IF(N129&gt;=15,"★★★",IF(N129&gt;=5,"★★","★"))))</f>
        <v>★★</v>
      </c>
      <c r="T129" s="1" t="s">
        <v>256</v>
      </c>
    </row>
    <row r="130" spans="1:29">
      <c r="A130" s="17" t="s">
        <v>7</v>
      </c>
      <c r="B130" s="17" t="s">
        <v>598</v>
      </c>
      <c r="C130" s="17" t="s">
        <v>8</v>
      </c>
      <c r="G130" s="18">
        <v>51</v>
      </c>
      <c r="H130" s="1" t="s">
        <v>285</v>
      </c>
      <c r="I130" s="1" t="str">
        <f t="shared" si="56"/>
        <v>A051</v>
      </c>
      <c r="J130" s="3" t="s">
        <v>5</v>
      </c>
      <c r="K130" s="2">
        <f t="shared" si="67"/>
        <v>1</v>
      </c>
      <c r="L130" s="2">
        <f t="shared" si="68"/>
        <v>1</v>
      </c>
      <c r="M130" s="2" cm="1">
        <f t="array" ref="M130">MATCH(TRUE,P130:AD130&lt;&gt;"",0)-1</f>
        <v>5</v>
      </c>
      <c r="N130" s="11">
        <f t="shared" si="81"/>
        <v>8.3333333333333321</v>
      </c>
      <c r="O130" s="11" t="str">
        <f t="shared" si="82"/>
        <v>★★</v>
      </c>
      <c r="U130" s="1" t="s">
        <v>284</v>
      </c>
    </row>
    <row r="131" spans="1:29">
      <c r="A131" s="17" t="s">
        <v>7</v>
      </c>
      <c r="B131" s="17" t="s">
        <v>598</v>
      </c>
      <c r="C131" s="17" t="s">
        <v>8</v>
      </c>
      <c r="G131" s="18">
        <v>52</v>
      </c>
      <c r="H131" s="1" t="s">
        <v>521</v>
      </c>
      <c r="I131" s="1" t="str">
        <f t="shared" si="56"/>
        <v>A052</v>
      </c>
      <c r="J131" s="3" t="s">
        <v>5</v>
      </c>
      <c r="K131" s="2">
        <f t="shared" ref="K131" si="83">COUNTA(P131:AS131)</f>
        <v>1</v>
      </c>
      <c r="L131" s="2">
        <f t="shared" ref="L131" si="84">COUNTA(Q131:AT131)</f>
        <v>1</v>
      </c>
      <c r="M131" s="2" cm="1">
        <f t="array" ref="M131">MATCH(TRUE,P131:AD131&lt;&gt;"",0)-1</f>
        <v>10</v>
      </c>
      <c r="N131" s="11">
        <f t="shared" si="81"/>
        <v>8.3333333333333321</v>
      </c>
      <c r="O131" s="11" t="str">
        <f t="shared" si="82"/>
        <v>★★</v>
      </c>
      <c r="Z131" s="1" t="s">
        <v>522</v>
      </c>
    </row>
    <row r="132" spans="1:29">
      <c r="A132" s="17" t="s">
        <v>7</v>
      </c>
      <c r="B132" s="17" t="s">
        <v>598</v>
      </c>
      <c r="C132" s="1" t="s">
        <v>9</v>
      </c>
      <c r="F132" s="2">
        <f>SUM(K132:K136)</f>
        <v>11</v>
      </c>
      <c r="G132" s="18">
        <v>53</v>
      </c>
      <c r="H132" s="1" t="s">
        <v>100</v>
      </c>
      <c r="I132" s="1" t="str">
        <f t="shared" si="56"/>
        <v>A053</v>
      </c>
      <c r="J132" s="3" t="s">
        <v>5</v>
      </c>
      <c r="K132" s="2">
        <f t="shared" si="67"/>
        <v>3</v>
      </c>
      <c r="L132" s="2">
        <f t="shared" si="68"/>
        <v>3</v>
      </c>
      <c r="M132" s="2" cm="1">
        <f t="array" ref="M132">MATCH(TRUE,P132:AD132&lt;&gt;"",0)-1</f>
        <v>1</v>
      </c>
      <c r="N132" s="11">
        <f t="shared" si="81"/>
        <v>25</v>
      </c>
      <c r="O132" s="11" t="str">
        <f t="shared" si="82"/>
        <v>★★★★</v>
      </c>
      <c r="Q132" s="1" t="s">
        <v>29</v>
      </c>
      <c r="U132" s="1" t="s">
        <v>286</v>
      </c>
      <c r="Y132" s="1" t="s">
        <v>469</v>
      </c>
    </row>
    <row r="133" spans="1:29">
      <c r="A133" s="17" t="s">
        <v>7</v>
      </c>
      <c r="B133" s="17" t="s">
        <v>598</v>
      </c>
      <c r="C133" s="17" t="s">
        <v>9</v>
      </c>
      <c r="G133" s="18">
        <v>54</v>
      </c>
      <c r="H133" s="1" t="s">
        <v>71</v>
      </c>
      <c r="I133" s="1" t="str">
        <f t="shared" si="56"/>
        <v>A054</v>
      </c>
      <c r="J133" s="3" t="s">
        <v>5</v>
      </c>
      <c r="K133" s="2">
        <f t="shared" si="67"/>
        <v>1</v>
      </c>
      <c r="L133" s="2">
        <f t="shared" si="68"/>
        <v>1</v>
      </c>
      <c r="M133" s="2" cm="1">
        <f t="array" ref="M133">MATCH(TRUE,P133:AD133&lt;&gt;"",0)-1</f>
        <v>2</v>
      </c>
      <c r="N133" s="11">
        <f t="shared" si="81"/>
        <v>8.3333333333333321</v>
      </c>
      <c r="O133" s="11" t="str">
        <f t="shared" si="82"/>
        <v>★★</v>
      </c>
      <c r="R133" s="1" t="s">
        <v>33</v>
      </c>
    </row>
    <row r="134" spans="1:29">
      <c r="A134" s="17" t="s">
        <v>7</v>
      </c>
      <c r="B134" s="17" t="s">
        <v>598</v>
      </c>
      <c r="C134" s="17" t="s">
        <v>9</v>
      </c>
      <c r="G134" s="18">
        <v>55</v>
      </c>
      <c r="H134" s="1" t="s">
        <v>333</v>
      </c>
      <c r="I134" s="1" t="str">
        <f t="shared" si="56"/>
        <v>A055</v>
      </c>
      <c r="J134" s="3" t="s">
        <v>5</v>
      </c>
      <c r="K134" s="2">
        <f t="shared" si="67"/>
        <v>1</v>
      </c>
      <c r="L134" s="2">
        <f t="shared" si="68"/>
        <v>1</v>
      </c>
      <c r="M134" s="2" cm="1">
        <f t="array" ref="M134">MATCH(TRUE,P134:AD134&lt;&gt;"",0)-1</f>
        <v>6</v>
      </c>
      <c r="N134" s="11">
        <f t="shared" si="81"/>
        <v>8.3333333333333321</v>
      </c>
      <c r="O134" s="11" t="str">
        <f t="shared" si="82"/>
        <v>★★</v>
      </c>
      <c r="V134" s="1" t="s">
        <v>334</v>
      </c>
    </row>
    <row r="135" spans="1:29">
      <c r="A135" s="17" t="s">
        <v>7</v>
      </c>
      <c r="B135" s="17" t="s">
        <v>598</v>
      </c>
      <c r="C135" s="17" t="s">
        <v>9</v>
      </c>
      <c r="G135" s="18">
        <v>56</v>
      </c>
      <c r="H135" s="1" t="s">
        <v>138</v>
      </c>
      <c r="I135" s="1" t="str">
        <f t="shared" si="56"/>
        <v>A056</v>
      </c>
      <c r="J135" s="3" t="s">
        <v>5</v>
      </c>
      <c r="K135" s="2">
        <f t="shared" si="67"/>
        <v>4</v>
      </c>
      <c r="L135" s="2">
        <f t="shared" si="68"/>
        <v>3</v>
      </c>
      <c r="M135" s="2" cm="1">
        <f t="array" ref="M135">MATCH(TRUE,P135:AD135&lt;&gt;"",0)-1</f>
        <v>0</v>
      </c>
      <c r="N135" s="11">
        <f t="shared" si="81"/>
        <v>16.666666666666664</v>
      </c>
      <c r="O135" s="11" t="str">
        <f t="shared" si="82"/>
        <v>★★★</v>
      </c>
      <c r="P135" s="1" t="s">
        <v>139</v>
      </c>
      <c r="S135" s="1" t="s">
        <v>33</v>
      </c>
      <c r="Z135" s="1" t="s">
        <v>509</v>
      </c>
      <c r="AC135" s="1" t="s">
        <v>564</v>
      </c>
    </row>
    <row r="136" spans="1:29">
      <c r="A136" s="17" t="s">
        <v>7</v>
      </c>
      <c r="B136" s="17" t="s">
        <v>598</v>
      </c>
      <c r="C136" s="17" t="s">
        <v>9</v>
      </c>
      <c r="G136" s="18">
        <v>57</v>
      </c>
      <c r="H136" s="1" t="s">
        <v>236</v>
      </c>
      <c r="I136" s="1" t="str">
        <f t="shared" si="56"/>
        <v>A057</v>
      </c>
      <c r="J136" s="3" t="s">
        <v>5</v>
      </c>
      <c r="K136" s="2">
        <f t="shared" si="67"/>
        <v>2</v>
      </c>
      <c r="L136" s="2">
        <f t="shared" si="68"/>
        <v>2</v>
      </c>
      <c r="M136" s="2" cm="1">
        <f t="array" ref="M136">MATCH(TRUE,P136:AD136&lt;&gt;"",0)-1</f>
        <v>4</v>
      </c>
      <c r="N136" s="11">
        <f t="shared" si="81"/>
        <v>16.666666666666664</v>
      </c>
      <c r="O136" s="11" t="str">
        <f t="shared" si="82"/>
        <v>★★★</v>
      </c>
      <c r="T136" s="1" t="s">
        <v>237</v>
      </c>
      <c r="AA136" s="1" t="s">
        <v>509</v>
      </c>
    </row>
    <row r="137" spans="1:29">
      <c r="A137" s="17" t="s">
        <v>7</v>
      </c>
      <c r="B137" s="17" t="s">
        <v>598</v>
      </c>
      <c r="C137" s="1" t="s">
        <v>10</v>
      </c>
      <c r="D137" s="1" t="s">
        <v>140</v>
      </c>
      <c r="F137" s="2">
        <f>SUM(K137:K141)</f>
        <v>9</v>
      </c>
      <c r="G137" s="18">
        <v>58</v>
      </c>
      <c r="H137" s="1" t="s">
        <v>147</v>
      </c>
      <c r="I137" s="1" t="str">
        <f t="shared" si="56"/>
        <v>A058</v>
      </c>
      <c r="J137" s="4" t="s">
        <v>6</v>
      </c>
      <c r="K137" s="2">
        <f t="shared" si="67"/>
        <v>2</v>
      </c>
      <c r="L137" s="2">
        <f t="shared" si="68"/>
        <v>2</v>
      </c>
      <c r="M137" s="2" cm="1">
        <f t="array" ref="M137">MATCH(TRUE,P137:AD137&lt;&gt;"",0)-1</f>
        <v>1</v>
      </c>
      <c r="N137" s="11">
        <f t="shared" si="81"/>
        <v>16.666666666666664</v>
      </c>
      <c r="O137" s="11" t="str">
        <f t="shared" si="82"/>
        <v>★★★</v>
      </c>
      <c r="Q137" s="1" t="s">
        <v>30</v>
      </c>
      <c r="T137" s="1" t="s">
        <v>234</v>
      </c>
    </row>
    <row r="138" spans="1:29">
      <c r="A138" s="17" t="s">
        <v>7</v>
      </c>
      <c r="B138" s="17" t="s">
        <v>598</v>
      </c>
      <c r="C138" s="17" t="s">
        <v>10</v>
      </c>
      <c r="G138" s="18">
        <v>59</v>
      </c>
      <c r="H138" s="1" t="s">
        <v>148</v>
      </c>
      <c r="I138" s="1" t="str">
        <f t="shared" si="56"/>
        <v>A059</v>
      </c>
      <c r="J138" s="5" t="s">
        <v>80</v>
      </c>
      <c r="K138" s="2">
        <f t="shared" si="67"/>
        <v>3</v>
      </c>
      <c r="L138" s="2">
        <f t="shared" si="68"/>
        <v>2</v>
      </c>
      <c r="M138" s="2" cm="1">
        <f t="array" ref="M138">MATCH(TRUE,P138:AD138&lt;&gt;"",0)-1</f>
        <v>0</v>
      </c>
      <c r="N138" s="11">
        <f t="shared" si="81"/>
        <v>8.3333333333333321</v>
      </c>
      <c r="O138" s="11" t="str">
        <f t="shared" si="82"/>
        <v>★★</v>
      </c>
      <c r="P138" s="1" t="s">
        <v>145</v>
      </c>
      <c r="R138" s="1" t="s">
        <v>69</v>
      </c>
      <c r="AC138" s="1" t="s">
        <v>580</v>
      </c>
    </row>
    <row r="139" spans="1:29">
      <c r="A139" s="17" t="s">
        <v>7</v>
      </c>
      <c r="B139" s="17" t="s">
        <v>598</v>
      </c>
      <c r="C139" s="17" t="s">
        <v>10</v>
      </c>
      <c r="G139" s="18">
        <v>60</v>
      </c>
      <c r="H139" s="1" t="s">
        <v>149</v>
      </c>
      <c r="I139" s="1" t="str">
        <f t="shared" si="56"/>
        <v>A060</v>
      </c>
      <c r="J139" s="3" t="s">
        <v>5</v>
      </c>
      <c r="K139" s="2">
        <f t="shared" si="67"/>
        <v>2</v>
      </c>
      <c r="L139" s="2">
        <f t="shared" si="68"/>
        <v>2</v>
      </c>
      <c r="M139" s="2" cm="1">
        <f t="array" ref="M139">MATCH(TRUE,P139:AD139&lt;&gt;"",0)-1</f>
        <v>3</v>
      </c>
      <c r="N139" s="11">
        <f t="shared" si="81"/>
        <v>16.666666666666664</v>
      </c>
      <c r="O139" s="11" t="str">
        <f t="shared" si="82"/>
        <v>★★★</v>
      </c>
      <c r="S139" s="1" t="s">
        <v>69</v>
      </c>
      <c r="V139" s="1" t="s">
        <v>330</v>
      </c>
    </row>
    <row r="140" spans="1:29">
      <c r="A140" s="17" t="s">
        <v>7</v>
      </c>
      <c r="B140" s="17" t="s">
        <v>598</v>
      </c>
      <c r="C140" s="17" t="s">
        <v>10</v>
      </c>
      <c r="G140" s="18">
        <v>61</v>
      </c>
      <c r="H140" s="1" t="s">
        <v>467</v>
      </c>
      <c r="I140" s="1" t="str">
        <f t="shared" si="56"/>
        <v>A061</v>
      </c>
      <c r="J140" s="3" t="s">
        <v>5</v>
      </c>
      <c r="K140" s="2">
        <f t="shared" ref="K140" si="85">COUNTA(P140:AS140)</f>
        <v>1</v>
      </c>
      <c r="L140" s="2">
        <f t="shared" ref="L140" si="86">COUNTA(Q140:AT140)</f>
        <v>1</v>
      </c>
      <c r="M140" s="2" cm="1">
        <f t="array" ref="M140">MATCH(TRUE,P140:AD140&lt;&gt;"",0)-1</f>
        <v>9</v>
      </c>
      <c r="N140" s="11">
        <f t="shared" si="81"/>
        <v>8.3333333333333321</v>
      </c>
      <c r="O140" s="11" t="str">
        <f t="shared" si="82"/>
        <v>★★</v>
      </c>
      <c r="Y140" s="1" t="s">
        <v>466</v>
      </c>
    </row>
    <row r="141" spans="1:29">
      <c r="A141" s="17" t="s">
        <v>7</v>
      </c>
      <c r="B141" s="17" t="s">
        <v>598</v>
      </c>
      <c r="C141" s="17" t="s">
        <v>10</v>
      </c>
      <c r="G141" s="18">
        <v>62</v>
      </c>
      <c r="H141" s="1" t="s">
        <v>375</v>
      </c>
      <c r="I141" s="1" t="str">
        <f t="shared" si="56"/>
        <v>A062</v>
      </c>
      <c r="J141" s="4" t="s">
        <v>6</v>
      </c>
      <c r="K141" s="2">
        <f t="shared" ref="K141" si="87">COUNTA(P141:AS141)</f>
        <v>1</v>
      </c>
      <c r="L141" s="2">
        <f t="shared" ref="L141" si="88">COUNTA(Q141:AT141)</f>
        <v>1</v>
      </c>
      <c r="M141" s="2" cm="1">
        <f t="array" ref="M141">MATCH(TRUE,P141:AD141&lt;&gt;"",0)-1</f>
        <v>7</v>
      </c>
      <c r="N141" s="11">
        <f t="shared" si="81"/>
        <v>8.3333333333333321</v>
      </c>
      <c r="O141" s="11" t="str">
        <f t="shared" si="82"/>
        <v>★★</v>
      </c>
      <c r="W141" s="1" t="s">
        <v>376</v>
      </c>
    </row>
    <row r="142" spans="1:29">
      <c r="A142" s="17" t="s">
        <v>7</v>
      </c>
      <c r="B142" s="17" t="s">
        <v>598</v>
      </c>
      <c r="C142" s="17" t="s">
        <v>10</v>
      </c>
      <c r="D142" s="1" t="s">
        <v>141</v>
      </c>
      <c r="F142" s="2">
        <f>SUM(K142:K146)</f>
        <v>11</v>
      </c>
      <c r="G142" s="18">
        <v>63</v>
      </c>
      <c r="H142" s="1" t="s">
        <v>103</v>
      </c>
      <c r="I142" s="1" t="str">
        <f t="shared" si="56"/>
        <v>A063</v>
      </c>
      <c r="J142" s="3" t="s">
        <v>5</v>
      </c>
      <c r="K142" s="2">
        <f t="shared" si="67"/>
        <v>3</v>
      </c>
      <c r="L142" s="2">
        <f t="shared" si="68"/>
        <v>3</v>
      </c>
      <c r="M142" s="2" cm="1">
        <f t="array" ref="M142">MATCH(TRUE,P142:AD142&lt;&gt;"",0)-1</f>
        <v>1</v>
      </c>
      <c r="N142" s="11">
        <f t="shared" si="81"/>
        <v>25</v>
      </c>
      <c r="O142" s="11" t="str">
        <f t="shared" si="82"/>
        <v>★★★★</v>
      </c>
      <c r="Q142" s="1" t="s">
        <v>46</v>
      </c>
      <c r="W142" s="1" t="s">
        <v>377</v>
      </c>
      <c r="AB142" s="1" t="s">
        <v>579</v>
      </c>
    </row>
    <row r="143" spans="1:29">
      <c r="A143" s="17" t="s">
        <v>7</v>
      </c>
      <c r="B143" s="17" t="s">
        <v>598</v>
      </c>
      <c r="C143" s="17" t="s">
        <v>10</v>
      </c>
      <c r="G143" s="18">
        <v>64</v>
      </c>
      <c r="H143" s="1" t="s">
        <v>289</v>
      </c>
      <c r="I143" s="1" t="str">
        <f t="shared" si="56"/>
        <v>A064</v>
      </c>
      <c r="J143" s="4" t="s">
        <v>6</v>
      </c>
      <c r="K143" s="2">
        <f t="shared" si="67"/>
        <v>3</v>
      </c>
      <c r="L143" s="2">
        <f t="shared" si="68"/>
        <v>3</v>
      </c>
      <c r="M143" s="2" cm="1">
        <f t="array" ref="M143">MATCH(TRUE,P143:AD143&lt;&gt;"",0)-1</f>
        <v>2</v>
      </c>
      <c r="N143" s="11">
        <f t="shared" si="81"/>
        <v>16.666666666666664</v>
      </c>
      <c r="O143" s="11" t="str">
        <f t="shared" si="82"/>
        <v>★★★</v>
      </c>
      <c r="R143" s="1" t="s">
        <v>70</v>
      </c>
      <c r="Y143" s="1" t="s">
        <v>465</v>
      </c>
      <c r="AC143" s="1" t="s">
        <v>563</v>
      </c>
    </row>
    <row r="144" spans="1:29">
      <c r="A144" s="17" t="s">
        <v>7</v>
      </c>
      <c r="B144" s="17" t="s">
        <v>598</v>
      </c>
      <c r="C144" s="17" t="s">
        <v>10</v>
      </c>
      <c r="G144" s="18">
        <v>65</v>
      </c>
      <c r="H144" s="1" t="s">
        <v>287</v>
      </c>
      <c r="I144" s="1" t="str">
        <f t="shared" si="56"/>
        <v>A065</v>
      </c>
      <c r="J144" s="4" t="s">
        <v>6</v>
      </c>
      <c r="K144" s="2">
        <f t="shared" si="67"/>
        <v>1</v>
      </c>
      <c r="L144" s="2">
        <f t="shared" si="68"/>
        <v>1</v>
      </c>
      <c r="M144" s="2" cm="1">
        <f t="array" ref="M144">MATCH(TRUE,P144:AD144&lt;&gt;"",0)-1</f>
        <v>5</v>
      </c>
      <c r="N144" s="11">
        <f t="shared" si="81"/>
        <v>8.3333333333333321</v>
      </c>
      <c r="O144" s="11" t="str">
        <f t="shared" si="82"/>
        <v>★★</v>
      </c>
      <c r="U144" s="1" t="s">
        <v>288</v>
      </c>
    </row>
    <row r="145" spans="1:29">
      <c r="A145" s="17" t="s">
        <v>7</v>
      </c>
      <c r="B145" s="17" t="s">
        <v>598</v>
      </c>
      <c r="C145" s="17" t="s">
        <v>10</v>
      </c>
      <c r="G145" s="18">
        <v>66</v>
      </c>
      <c r="H145" s="1" t="s">
        <v>413</v>
      </c>
      <c r="I145" s="1" t="str">
        <f t="shared" ref="I145:I208" si="89">B145&amp;TEXT(G145,"000")</f>
        <v>A066</v>
      </c>
      <c r="J145" s="4" t="s">
        <v>6</v>
      </c>
      <c r="K145" s="2">
        <f t="shared" ref="K145" si="90">COUNTA(P145:AS145)</f>
        <v>2</v>
      </c>
      <c r="L145" s="2">
        <f t="shared" ref="L145" si="91">COUNTA(Q145:AT145)</f>
        <v>2</v>
      </c>
      <c r="M145" s="2" cm="1">
        <f t="array" ref="M145">MATCH(TRUE,P145:AD145&lt;&gt;"",0)-1</f>
        <v>8</v>
      </c>
      <c r="N145" s="11">
        <f t="shared" si="81"/>
        <v>16.666666666666664</v>
      </c>
      <c r="O145" s="11" t="str">
        <f t="shared" si="82"/>
        <v>★★★</v>
      </c>
      <c r="X145" s="1" t="s">
        <v>414</v>
      </c>
      <c r="AA145" s="1" t="s">
        <v>510</v>
      </c>
    </row>
    <row r="146" spans="1:29">
      <c r="A146" s="17" t="s">
        <v>7</v>
      </c>
      <c r="B146" s="17" t="s">
        <v>598</v>
      </c>
      <c r="C146" s="17" t="s">
        <v>10</v>
      </c>
      <c r="G146" s="18">
        <v>67</v>
      </c>
      <c r="H146" s="1" t="s">
        <v>197</v>
      </c>
      <c r="I146" s="1" t="str">
        <f t="shared" si="89"/>
        <v>A067</v>
      </c>
      <c r="J146" s="4" t="s">
        <v>6</v>
      </c>
      <c r="K146" s="2">
        <f t="shared" si="67"/>
        <v>2</v>
      </c>
      <c r="L146" s="2">
        <f t="shared" si="68"/>
        <v>2</v>
      </c>
      <c r="M146" s="2" cm="1">
        <f t="array" ref="M146">MATCH(TRUE,P146:AD146&lt;&gt;"",0)-1</f>
        <v>3</v>
      </c>
      <c r="N146" s="11">
        <f t="shared" si="81"/>
        <v>16.666666666666664</v>
      </c>
      <c r="O146" s="11" t="str">
        <f t="shared" si="82"/>
        <v>★★★</v>
      </c>
      <c r="S146" s="1" t="s">
        <v>70</v>
      </c>
      <c r="AB146" s="1" t="s">
        <v>564</v>
      </c>
    </row>
    <row r="147" spans="1:29">
      <c r="A147" s="17" t="s">
        <v>7</v>
      </c>
      <c r="B147" s="17" t="s">
        <v>598</v>
      </c>
      <c r="C147" s="17" t="s">
        <v>10</v>
      </c>
      <c r="D147" s="1" t="s">
        <v>142</v>
      </c>
      <c r="F147" s="2">
        <f>SUM(K147:K150)</f>
        <v>10</v>
      </c>
      <c r="G147" s="18">
        <v>68</v>
      </c>
      <c r="H147" s="1" t="s">
        <v>146</v>
      </c>
      <c r="I147" s="1" t="str">
        <f t="shared" si="89"/>
        <v>A068</v>
      </c>
      <c r="J147" s="3" t="s">
        <v>5</v>
      </c>
      <c r="K147" s="2">
        <f t="shared" si="67"/>
        <v>2</v>
      </c>
      <c r="L147" s="2">
        <f t="shared" si="68"/>
        <v>1</v>
      </c>
      <c r="M147" s="2" cm="1">
        <f t="array" ref="M147">MATCH(TRUE,P147:AD147&lt;&gt;"",0)-1</f>
        <v>0</v>
      </c>
      <c r="N147" s="11">
        <f t="shared" si="81"/>
        <v>8.3333333333333321</v>
      </c>
      <c r="O147" s="11" t="str">
        <f t="shared" si="82"/>
        <v>★★</v>
      </c>
      <c r="P147" s="1" t="s">
        <v>143</v>
      </c>
      <c r="AA147" s="1" t="s">
        <v>511</v>
      </c>
    </row>
    <row r="148" spans="1:29">
      <c r="A148" s="17" t="s">
        <v>7</v>
      </c>
      <c r="B148" s="17" t="s">
        <v>598</v>
      </c>
      <c r="C148" s="17" t="s">
        <v>10</v>
      </c>
      <c r="G148" s="18">
        <v>69</v>
      </c>
      <c r="H148" s="1" t="s">
        <v>232</v>
      </c>
      <c r="I148" s="1" t="str">
        <f t="shared" si="89"/>
        <v>A069</v>
      </c>
      <c r="J148" s="3" t="s">
        <v>5</v>
      </c>
      <c r="K148" s="2">
        <f t="shared" si="67"/>
        <v>3</v>
      </c>
      <c r="L148" s="2">
        <f t="shared" si="68"/>
        <v>3</v>
      </c>
      <c r="M148" s="2" cm="1">
        <f t="array" ref="M148">MATCH(TRUE,P148:AD148&lt;&gt;"",0)-1</f>
        <v>4</v>
      </c>
      <c r="N148" s="11">
        <f t="shared" si="81"/>
        <v>25</v>
      </c>
      <c r="O148" s="11" t="str">
        <f t="shared" si="82"/>
        <v>★★★★</v>
      </c>
      <c r="T148" s="1" t="s">
        <v>235</v>
      </c>
      <c r="W148" s="1" t="s">
        <v>378</v>
      </c>
      <c r="Z148" s="1" t="s">
        <v>511</v>
      </c>
    </row>
    <row r="149" spans="1:29">
      <c r="A149" s="17" t="s">
        <v>7</v>
      </c>
      <c r="B149" s="17" t="s">
        <v>598</v>
      </c>
      <c r="C149" s="17" t="s">
        <v>10</v>
      </c>
      <c r="G149" s="18">
        <v>70</v>
      </c>
      <c r="H149" s="1" t="s">
        <v>290</v>
      </c>
      <c r="I149" s="1" t="str">
        <f t="shared" si="89"/>
        <v>A070</v>
      </c>
      <c r="J149" s="3" t="s">
        <v>5</v>
      </c>
      <c r="K149" s="2">
        <f t="shared" si="67"/>
        <v>3</v>
      </c>
      <c r="L149" s="2">
        <f t="shared" si="68"/>
        <v>3</v>
      </c>
      <c r="M149" s="2" cm="1">
        <f t="array" ref="M149">MATCH(TRUE,P149:AD149&lt;&gt;"",0)-1</f>
        <v>5</v>
      </c>
      <c r="N149" s="11">
        <f t="shared" si="81"/>
        <v>25</v>
      </c>
      <c r="O149" s="11" t="str">
        <f t="shared" si="82"/>
        <v>★★★★</v>
      </c>
      <c r="U149" s="1" t="s">
        <v>291</v>
      </c>
      <c r="X149" s="1" t="s">
        <v>412</v>
      </c>
      <c r="AB149" s="1" t="s">
        <v>565</v>
      </c>
    </row>
    <row r="150" spans="1:29">
      <c r="A150" s="17" t="s">
        <v>7</v>
      </c>
      <c r="B150" s="17" t="s">
        <v>598</v>
      </c>
      <c r="C150" s="17" t="s">
        <v>10</v>
      </c>
      <c r="G150" s="18">
        <v>71</v>
      </c>
      <c r="H150" s="1" t="s">
        <v>331</v>
      </c>
      <c r="I150" s="1" t="str">
        <f t="shared" si="89"/>
        <v>A071</v>
      </c>
      <c r="J150" s="4" t="s">
        <v>6</v>
      </c>
      <c r="K150" s="2">
        <f t="shared" ref="K150" si="92">COUNTA(P150:AS150)</f>
        <v>2</v>
      </c>
      <c r="L150" s="2">
        <f t="shared" ref="L150" si="93">COUNTA(Q150:AT150)</f>
        <v>2</v>
      </c>
      <c r="M150" s="2" cm="1">
        <f t="array" ref="M150">MATCH(TRUE,P150:AD150&lt;&gt;"",0)-1</f>
        <v>6</v>
      </c>
      <c r="N150" s="11">
        <f t="shared" si="81"/>
        <v>16.666666666666664</v>
      </c>
      <c r="O150" s="11" t="str">
        <f t="shared" si="82"/>
        <v>★★★</v>
      </c>
      <c r="V150" s="1" t="s">
        <v>332</v>
      </c>
      <c r="Z150" s="1" t="s">
        <v>510</v>
      </c>
    </row>
    <row r="151" spans="1:29">
      <c r="A151" s="1" t="s">
        <v>31</v>
      </c>
      <c r="B151" s="1" t="s">
        <v>599</v>
      </c>
      <c r="C151" s="1" t="s">
        <v>32</v>
      </c>
      <c r="D151" s="1" t="s">
        <v>248</v>
      </c>
      <c r="F151" s="2">
        <f>SUM(K151:K159)</f>
        <v>12</v>
      </c>
      <c r="G151" s="18">
        <v>1</v>
      </c>
      <c r="H151" s="1" t="s">
        <v>151</v>
      </c>
      <c r="I151" s="1" t="str">
        <f t="shared" si="89"/>
        <v>B001</v>
      </c>
      <c r="J151" s="3" t="s">
        <v>5</v>
      </c>
      <c r="K151" s="2">
        <f t="shared" si="67"/>
        <v>2</v>
      </c>
      <c r="L151" s="2">
        <f t="shared" si="68"/>
        <v>2</v>
      </c>
      <c r="M151" s="2" cm="1">
        <f t="array" ref="M151">MATCH(TRUE,P151:AD151&lt;&gt;"",0)-1</f>
        <v>1</v>
      </c>
      <c r="N151" s="11">
        <f t="shared" si="81"/>
        <v>16.666666666666664</v>
      </c>
      <c r="O151" s="11" t="str">
        <f t="shared" si="82"/>
        <v>★★★</v>
      </c>
      <c r="Q151" s="1" t="s">
        <v>33</v>
      </c>
      <c r="X151" s="1" t="s">
        <v>415</v>
      </c>
    </row>
    <row r="152" spans="1:29">
      <c r="A152" s="17" t="s">
        <v>31</v>
      </c>
      <c r="B152" s="17" t="s">
        <v>599</v>
      </c>
      <c r="C152" s="17" t="s">
        <v>32</v>
      </c>
      <c r="G152" s="18">
        <v>2</v>
      </c>
      <c r="H152" s="1" t="s">
        <v>150</v>
      </c>
      <c r="I152" s="1" t="str">
        <f t="shared" si="89"/>
        <v>B002</v>
      </c>
      <c r="J152" s="3" t="s">
        <v>5</v>
      </c>
      <c r="K152" s="2">
        <f t="shared" si="67"/>
        <v>1</v>
      </c>
      <c r="L152" s="2">
        <f t="shared" si="68"/>
        <v>0</v>
      </c>
      <c r="M152" s="2" cm="1">
        <f t="array" ref="M152">MATCH(TRUE,P152:AD152&lt;&gt;"",0)-1</f>
        <v>0</v>
      </c>
      <c r="N152" s="11">
        <f t="shared" si="81"/>
        <v>0</v>
      </c>
      <c r="O152" s="11" t="str">
        <f t="shared" si="82"/>
        <v>★</v>
      </c>
      <c r="P152" s="1" t="s">
        <v>144</v>
      </c>
    </row>
    <row r="153" spans="1:29">
      <c r="A153" s="17" t="s">
        <v>31</v>
      </c>
      <c r="B153" s="17" t="s">
        <v>599</v>
      </c>
      <c r="C153" s="17" t="s">
        <v>32</v>
      </c>
      <c r="G153" s="18">
        <v>3</v>
      </c>
      <c r="H153" s="1" t="s">
        <v>380</v>
      </c>
      <c r="I153" s="1" t="str">
        <f t="shared" si="89"/>
        <v>B003</v>
      </c>
      <c r="J153" s="3" t="s">
        <v>5</v>
      </c>
      <c r="K153" s="2">
        <f t="shared" ref="K153" si="94">COUNTA(P153:AS153)</f>
        <v>1</v>
      </c>
      <c r="L153" s="2">
        <f t="shared" ref="L153" si="95">COUNTA(Q153:AT153)</f>
        <v>1</v>
      </c>
      <c r="M153" s="2" cm="1">
        <f t="array" ref="M153">MATCH(TRUE,P153:AD153&lt;&gt;"",0)-1</f>
        <v>7</v>
      </c>
      <c r="N153" s="11">
        <f t="shared" si="81"/>
        <v>8.3333333333333321</v>
      </c>
      <c r="O153" s="11" t="str">
        <f t="shared" si="82"/>
        <v>★★</v>
      </c>
      <c r="W153" s="1" t="s">
        <v>381</v>
      </c>
    </row>
    <row r="154" spans="1:29">
      <c r="A154" s="17" t="s">
        <v>31</v>
      </c>
      <c r="B154" s="17" t="s">
        <v>599</v>
      </c>
      <c r="C154" s="17" t="s">
        <v>32</v>
      </c>
      <c r="G154" s="18">
        <v>4</v>
      </c>
      <c r="H154" s="1" t="s">
        <v>181</v>
      </c>
      <c r="I154" s="1" t="str">
        <f t="shared" si="89"/>
        <v>B004</v>
      </c>
      <c r="J154" s="4" t="s">
        <v>6</v>
      </c>
      <c r="K154" s="2">
        <f t="shared" si="67"/>
        <v>1</v>
      </c>
      <c r="L154" s="2">
        <f t="shared" si="68"/>
        <v>1</v>
      </c>
      <c r="M154" s="2" cm="1">
        <f t="array" ref="M154">MATCH(TRUE,P154:AD154&lt;&gt;"",0)-1</f>
        <v>2</v>
      </c>
      <c r="N154" s="11">
        <f t="shared" si="81"/>
        <v>8.3333333333333321</v>
      </c>
      <c r="O154" s="11" t="str">
        <f t="shared" si="82"/>
        <v>★★</v>
      </c>
      <c r="R154" s="1" t="s">
        <v>35</v>
      </c>
    </row>
    <row r="155" spans="1:29">
      <c r="A155" s="17" t="s">
        <v>31</v>
      </c>
      <c r="B155" s="17" t="s">
        <v>599</v>
      </c>
      <c r="C155" s="17" t="s">
        <v>32</v>
      </c>
      <c r="G155" s="18">
        <v>5</v>
      </c>
      <c r="H155" s="1" t="s">
        <v>101</v>
      </c>
      <c r="I155" s="1" t="str">
        <f t="shared" si="89"/>
        <v>B005</v>
      </c>
      <c r="J155" s="4" t="s">
        <v>6</v>
      </c>
      <c r="K155" s="2">
        <f t="shared" si="67"/>
        <v>2</v>
      </c>
      <c r="L155" s="2">
        <f t="shared" si="68"/>
        <v>2</v>
      </c>
      <c r="M155" s="2" cm="1">
        <f t="array" ref="M155">MATCH(TRUE,P155:AD155&lt;&gt;"",0)-1</f>
        <v>1</v>
      </c>
      <c r="N155" s="11">
        <f t="shared" si="81"/>
        <v>16.666666666666664</v>
      </c>
      <c r="O155" s="11" t="str">
        <f t="shared" si="82"/>
        <v>★★★</v>
      </c>
      <c r="Q155" s="1" t="s">
        <v>36</v>
      </c>
      <c r="U155" s="1" t="s">
        <v>296</v>
      </c>
    </row>
    <row r="156" spans="1:29">
      <c r="A156" s="17" t="s">
        <v>31</v>
      </c>
      <c r="B156" s="17" t="s">
        <v>599</v>
      </c>
      <c r="C156" s="17" t="s">
        <v>32</v>
      </c>
      <c r="G156" s="18">
        <v>6</v>
      </c>
      <c r="H156" s="1" t="s">
        <v>240</v>
      </c>
      <c r="I156" s="1" t="str">
        <f t="shared" si="89"/>
        <v>B006</v>
      </c>
      <c r="J156" s="3" t="s">
        <v>5</v>
      </c>
      <c r="K156" s="2">
        <f t="shared" ref="K156:L160" si="96">COUNTA(P156:AS156)</f>
        <v>1</v>
      </c>
      <c r="L156" s="2">
        <f t="shared" si="96"/>
        <v>1</v>
      </c>
      <c r="M156" s="2" cm="1">
        <f t="array" ref="M156">MATCH(TRUE,P156:AD156&lt;&gt;"",0)-1</f>
        <v>4</v>
      </c>
      <c r="N156" s="11">
        <f t="shared" si="81"/>
        <v>8.3333333333333321</v>
      </c>
      <c r="O156" s="11" t="str">
        <f t="shared" si="82"/>
        <v>★★</v>
      </c>
      <c r="T156" s="1" t="s">
        <v>35</v>
      </c>
    </row>
    <row r="157" spans="1:29">
      <c r="A157" s="17" t="s">
        <v>31</v>
      </c>
      <c r="B157" s="17" t="s">
        <v>599</v>
      </c>
      <c r="C157" s="17" t="s">
        <v>32</v>
      </c>
      <c r="G157" s="18">
        <v>7</v>
      </c>
      <c r="H157" s="1" t="s">
        <v>587</v>
      </c>
      <c r="I157" s="1" t="str">
        <f t="shared" si="89"/>
        <v>B007</v>
      </c>
      <c r="J157" s="3" t="s">
        <v>5</v>
      </c>
      <c r="K157" s="2">
        <f t="shared" si="96"/>
        <v>1</v>
      </c>
      <c r="L157" s="2">
        <f t="shared" si="96"/>
        <v>1</v>
      </c>
      <c r="M157" s="2" cm="1">
        <f t="array" ref="M157">MATCH(TRUE,P157:AD157&lt;&gt;"",0)-1</f>
        <v>13</v>
      </c>
      <c r="N157" s="11">
        <f t="shared" si="81"/>
        <v>0</v>
      </c>
      <c r="O157" s="11" t="str">
        <f t="shared" si="82"/>
        <v>★</v>
      </c>
      <c r="AC157" s="1" t="s">
        <v>578</v>
      </c>
    </row>
    <row r="158" spans="1:29">
      <c r="A158" s="17" t="s">
        <v>31</v>
      </c>
      <c r="B158" s="17" t="s">
        <v>599</v>
      </c>
      <c r="C158" s="17" t="s">
        <v>32</v>
      </c>
      <c r="G158" s="18">
        <v>8</v>
      </c>
      <c r="H158" s="1" t="s">
        <v>198</v>
      </c>
      <c r="I158" s="1" t="str">
        <f t="shared" si="89"/>
        <v>B008</v>
      </c>
      <c r="J158" s="3" t="s">
        <v>5</v>
      </c>
      <c r="K158" s="2">
        <f t="shared" si="96"/>
        <v>2</v>
      </c>
      <c r="L158" s="2">
        <f t="shared" si="96"/>
        <v>2</v>
      </c>
      <c r="M158" s="2" cm="1">
        <f t="array" ref="M158">MATCH(TRUE,P158:AD158&lt;&gt;"",0)-1</f>
        <v>3</v>
      </c>
      <c r="N158" s="11">
        <f t="shared" si="81"/>
        <v>16.666666666666664</v>
      </c>
      <c r="O158" s="11" t="str">
        <f t="shared" si="82"/>
        <v>★★★</v>
      </c>
      <c r="S158" s="1" t="s">
        <v>36</v>
      </c>
      <c r="V158" s="1" t="s">
        <v>335</v>
      </c>
    </row>
    <row r="159" spans="1:29">
      <c r="A159" s="17" t="s">
        <v>31</v>
      </c>
      <c r="B159" s="17" t="s">
        <v>599</v>
      </c>
      <c r="C159" s="17" t="s">
        <v>32</v>
      </c>
      <c r="G159" s="18">
        <v>9</v>
      </c>
      <c r="H159" s="1" t="s">
        <v>293</v>
      </c>
      <c r="I159" s="1" t="str">
        <f t="shared" si="89"/>
        <v>B009</v>
      </c>
      <c r="J159" s="3" t="s">
        <v>5</v>
      </c>
      <c r="K159" s="2">
        <f t="shared" si="96"/>
        <v>1</v>
      </c>
      <c r="L159" s="2">
        <f t="shared" si="96"/>
        <v>1</v>
      </c>
      <c r="M159" s="2" cm="1">
        <f t="array" ref="M159">MATCH(TRUE,P159:AD159&lt;&gt;"",0)-1</f>
        <v>5</v>
      </c>
      <c r="N159" s="11">
        <f t="shared" si="81"/>
        <v>8.3333333333333321</v>
      </c>
      <c r="O159" s="11" t="str">
        <f t="shared" si="82"/>
        <v>★★</v>
      </c>
      <c r="U159" s="1" t="s">
        <v>292</v>
      </c>
    </row>
    <row r="160" spans="1:29">
      <c r="A160" s="17" t="s">
        <v>31</v>
      </c>
      <c r="B160" s="17" t="s">
        <v>599</v>
      </c>
      <c r="C160" s="17" t="s">
        <v>32</v>
      </c>
      <c r="G160" s="18">
        <v>10</v>
      </c>
      <c r="H160" s="1" t="s">
        <v>566</v>
      </c>
      <c r="I160" s="1" t="str">
        <f t="shared" si="89"/>
        <v>B010</v>
      </c>
      <c r="J160" s="3" t="s">
        <v>5</v>
      </c>
      <c r="K160" s="2">
        <f t="shared" si="96"/>
        <v>1</v>
      </c>
      <c r="L160" s="2">
        <f t="shared" si="96"/>
        <v>1</v>
      </c>
      <c r="M160" s="2" cm="1">
        <f t="array" ref="M160">MATCH(TRUE,P160:AD160&lt;&gt;"",0)-1</f>
        <v>12</v>
      </c>
      <c r="N160" s="11">
        <f t="shared" si="81"/>
        <v>8.3333333333333321</v>
      </c>
      <c r="O160" s="11" t="str">
        <f t="shared" si="82"/>
        <v>★★</v>
      </c>
      <c r="AB160" s="1" t="s">
        <v>567</v>
      </c>
    </row>
    <row r="161" spans="1:32">
      <c r="A161" s="17" t="s">
        <v>31</v>
      </c>
      <c r="B161" s="17" t="s">
        <v>599</v>
      </c>
      <c r="C161" s="17" t="s">
        <v>32</v>
      </c>
      <c r="D161" s="1" t="s">
        <v>238</v>
      </c>
      <c r="F161" s="2">
        <f>SUM(K161:K164)</f>
        <v>6</v>
      </c>
      <c r="G161" s="18">
        <v>11</v>
      </c>
      <c r="H161" s="1" t="s">
        <v>158</v>
      </c>
      <c r="I161" s="1" t="str">
        <f t="shared" si="89"/>
        <v>B011</v>
      </c>
      <c r="J161" s="4" t="s">
        <v>6</v>
      </c>
      <c r="K161" s="2">
        <f t="shared" ref="K161:K215" si="97">COUNTA(P161:AS161)</f>
        <v>2</v>
      </c>
      <c r="L161" s="2">
        <f t="shared" ref="L161:L215" si="98">COUNTA(Q161:AT161)</f>
        <v>1</v>
      </c>
      <c r="M161" s="2" cm="1">
        <f t="array" ref="M161">MATCH(TRUE,P161:AD161&lt;&gt;"",0)-1</f>
        <v>0</v>
      </c>
      <c r="N161" s="11">
        <f t="shared" si="81"/>
        <v>8.3333333333333321</v>
      </c>
      <c r="O161" s="11" t="str">
        <f t="shared" si="82"/>
        <v>★★</v>
      </c>
      <c r="P161" s="1" t="s">
        <v>159</v>
      </c>
      <c r="AB161" s="1" t="s">
        <v>568</v>
      </c>
    </row>
    <row r="162" spans="1:32">
      <c r="A162" s="17" t="s">
        <v>31</v>
      </c>
      <c r="B162" s="17" t="s">
        <v>599</v>
      </c>
      <c r="C162" s="17" t="s">
        <v>32</v>
      </c>
      <c r="G162" s="18">
        <v>12</v>
      </c>
      <c r="H162" s="1" t="s">
        <v>239</v>
      </c>
      <c r="I162" s="1" t="str">
        <f t="shared" si="89"/>
        <v>B012</v>
      </c>
      <c r="J162" s="4" t="s">
        <v>6</v>
      </c>
      <c r="K162" s="2">
        <f t="shared" si="97"/>
        <v>1</v>
      </c>
      <c r="L162" s="2">
        <f t="shared" si="98"/>
        <v>1</v>
      </c>
      <c r="M162" s="2" cm="1">
        <f t="array" ref="M162">MATCH(TRUE,P162:AD162&lt;&gt;"",0)-1</f>
        <v>4</v>
      </c>
      <c r="N162" s="11">
        <f t="shared" si="81"/>
        <v>8.3333333333333321</v>
      </c>
      <c r="O162" s="11" t="str">
        <f t="shared" si="82"/>
        <v>★★</v>
      </c>
      <c r="T162" s="1" t="s">
        <v>233</v>
      </c>
    </row>
    <row r="163" spans="1:32">
      <c r="A163" s="17" t="s">
        <v>31</v>
      </c>
      <c r="B163" s="17" t="s">
        <v>599</v>
      </c>
      <c r="C163" s="17" t="s">
        <v>32</v>
      </c>
      <c r="G163" s="18">
        <v>13</v>
      </c>
      <c r="H163" s="1" t="s">
        <v>535</v>
      </c>
      <c r="I163" s="1" t="str">
        <f t="shared" si="89"/>
        <v>B013</v>
      </c>
      <c r="J163" s="4" t="s">
        <v>6</v>
      </c>
      <c r="K163" s="2">
        <f t="shared" ref="K163" si="99">COUNTA(P163:AS163)</f>
        <v>1</v>
      </c>
      <c r="L163" s="2">
        <f t="shared" ref="L163" si="100">COUNTA(Q163:AT163)</f>
        <v>1</v>
      </c>
      <c r="M163" s="2" cm="1">
        <f t="array" ref="M163">MATCH(TRUE,P163:AD163&lt;&gt;"",0)-1</f>
        <v>11</v>
      </c>
      <c r="N163" s="11">
        <f t="shared" si="81"/>
        <v>8.3333333333333321</v>
      </c>
      <c r="O163" s="11" t="str">
        <f t="shared" si="82"/>
        <v>★★</v>
      </c>
      <c r="AA163" s="1" t="s">
        <v>513</v>
      </c>
    </row>
    <row r="164" spans="1:32">
      <c r="A164" s="17" t="s">
        <v>31</v>
      </c>
      <c r="B164" s="17" t="s">
        <v>599</v>
      </c>
      <c r="C164" s="17" t="s">
        <v>32</v>
      </c>
      <c r="G164" s="18">
        <v>14</v>
      </c>
      <c r="H164" s="1" t="s">
        <v>426</v>
      </c>
      <c r="I164" s="1" t="str">
        <f t="shared" si="89"/>
        <v>B014</v>
      </c>
      <c r="J164" s="3" t="s">
        <v>5</v>
      </c>
      <c r="K164" s="2">
        <f t="shared" si="97"/>
        <v>2</v>
      </c>
      <c r="L164" s="2">
        <f t="shared" si="98"/>
        <v>2</v>
      </c>
      <c r="M164" s="2" cm="1">
        <f t="array" ref="M164">MATCH(TRUE,P164:AD164&lt;&gt;"",0)-1</f>
        <v>8</v>
      </c>
      <c r="N164" s="11">
        <f t="shared" si="81"/>
        <v>8.3333333333333321</v>
      </c>
      <c r="O164" s="11" t="str">
        <f t="shared" si="82"/>
        <v>★★</v>
      </c>
      <c r="X164" s="1" t="s">
        <v>427</v>
      </c>
      <c r="AC164" s="1" t="s">
        <v>567</v>
      </c>
    </row>
    <row r="165" spans="1:32">
      <c r="A165" s="17" t="s">
        <v>31</v>
      </c>
      <c r="B165" s="17" t="s">
        <v>599</v>
      </c>
      <c r="C165" s="17" t="s">
        <v>32</v>
      </c>
      <c r="G165" s="18">
        <v>15</v>
      </c>
      <c r="H165" s="1" t="s">
        <v>482</v>
      </c>
      <c r="I165" s="1" t="str">
        <f t="shared" si="89"/>
        <v>B015</v>
      </c>
      <c r="J165" s="3" t="s">
        <v>5</v>
      </c>
      <c r="K165" s="2">
        <f t="shared" ref="K165" si="101">COUNTA(P165:AS165)</f>
        <v>1</v>
      </c>
      <c r="L165" s="2">
        <f t="shared" ref="L165" si="102">COUNTA(Q165:AT165)</f>
        <v>1</v>
      </c>
      <c r="M165" s="2" cm="1">
        <f t="array" ref="M165">MATCH(TRUE,P165:AD165&lt;&gt;"",0)-1</f>
        <v>9</v>
      </c>
      <c r="N165" s="11">
        <f t="shared" si="81"/>
        <v>8.3333333333333321</v>
      </c>
      <c r="O165" s="11" t="str">
        <f t="shared" si="82"/>
        <v>★★</v>
      </c>
      <c r="Y165" s="1" t="s">
        <v>483</v>
      </c>
    </row>
    <row r="166" spans="1:32">
      <c r="A166" s="17" t="s">
        <v>31</v>
      </c>
      <c r="B166" s="17" t="s">
        <v>599</v>
      </c>
      <c r="C166" s="17" t="s">
        <v>32</v>
      </c>
      <c r="G166" s="18">
        <v>16</v>
      </c>
      <c r="H166" s="1" t="s">
        <v>527</v>
      </c>
      <c r="I166" s="1" t="str">
        <f t="shared" si="89"/>
        <v>B016</v>
      </c>
      <c r="J166" s="3" t="s">
        <v>5</v>
      </c>
      <c r="K166" s="2">
        <f t="shared" ref="K166" si="103">COUNTA(P166:AS166)</f>
        <v>2</v>
      </c>
      <c r="L166" s="2">
        <f t="shared" ref="L166" si="104">COUNTA(Q166:AT166)</f>
        <v>2</v>
      </c>
      <c r="M166" s="2" cm="1">
        <f t="array" ref="M166">MATCH(TRUE,P166:AD166&lt;&gt;"",0)-1</f>
        <v>10</v>
      </c>
      <c r="N166" s="11">
        <f t="shared" si="81"/>
        <v>16.666666666666664</v>
      </c>
      <c r="O166" s="11" t="str">
        <f t="shared" si="82"/>
        <v>★★★</v>
      </c>
      <c r="Z166" s="1" t="s">
        <v>528</v>
      </c>
      <c r="AA166" s="1" t="s">
        <v>514</v>
      </c>
    </row>
    <row r="167" spans="1:32">
      <c r="A167" s="17" t="s">
        <v>31</v>
      </c>
      <c r="B167" s="17" t="s">
        <v>599</v>
      </c>
      <c r="C167" s="1" t="s">
        <v>34</v>
      </c>
      <c r="D167" s="1" t="s">
        <v>156</v>
      </c>
      <c r="F167" s="2">
        <f>SUM(K167:K172)</f>
        <v>16</v>
      </c>
      <c r="G167" s="18">
        <v>17</v>
      </c>
      <c r="H167" s="1" t="s">
        <v>485</v>
      </c>
      <c r="I167" s="1" t="str">
        <f t="shared" si="89"/>
        <v>B017</v>
      </c>
      <c r="J167" s="4" t="s">
        <v>6</v>
      </c>
      <c r="K167" s="2">
        <f t="shared" si="97"/>
        <v>7</v>
      </c>
      <c r="L167" s="2">
        <f t="shared" si="98"/>
        <v>7</v>
      </c>
      <c r="M167" s="2" cm="1">
        <f t="array" ref="M167">MATCH(TRUE,P167:AD167&lt;&gt;"",0)-1</f>
        <v>1</v>
      </c>
      <c r="N167" s="11">
        <f t="shared" si="81"/>
        <v>50</v>
      </c>
      <c r="O167" s="11" t="str">
        <f t="shared" si="82"/>
        <v>★★★★★</v>
      </c>
      <c r="Q167" s="1" t="s">
        <v>35</v>
      </c>
      <c r="R167" s="1" t="s">
        <v>42</v>
      </c>
      <c r="V167" s="1" t="s">
        <v>342</v>
      </c>
      <c r="W167" s="1" t="s">
        <v>379</v>
      </c>
      <c r="X167" s="1" t="s">
        <v>35</v>
      </c>
      <c r="Y167" s="1" t="s">
        <v>42</v>
      </c>
      <c r="AF167" s="1" t="s">
        <v>608</v>
      </c>
    </row>
    <row r="168" spans="1:32">
      <c r="A168" s="17" t="s">
        <v>31</v>
      </c>
      <c r="B168" s="17" t="s">
        <v>599</v>
      </c>
      <c r="C168" s="17" t="s">
        <v>34</v>
      </c>
      <c r="G168" s="18">
        <v>18</v>
      </c>
      <c r="H168" s="1" t="s">
        <v>512</v>
      </c>
      <c r="I168" s="1" t="str">
        <f t="shared" si="89"/>
        <v>B018</v>
      </c>
      <c r="J168" s="3" t="s">
        <v>5</v>
      </c>
      <c r="K168" s="2">
        <f t="shared" ref="K168" si="105">COUNTA(P168:AS168)</f>
        <v>1</v>
      </c>
      <c r="L168" s="2">
        <f t="shared" ref="L168" si="106">COUNTA(Q168:AT168)</f>
        <v>1</v>
      </c>
      <c r="M168" s="2" cm="1">
        <f t="array" ref="M168">MATCH(TRUE,P168:AD168&lt;&gt;"",0)-1</f>
        <v>10</v>
      </c>
      <c r="N168" s="11">
        <f t="shared" si="81"/>
        <v>8.3333333333333321</v>
      </c>
      <c r="O168" s="11" t="str">
        <f t="shared" si="82"/>
        <v>★★</v>
      </c>
      <c r="Z168" s="1" t="s">
        <v>513</v>
      </c>
    </row>
    <row r="169" spans="1:32">
      <c r="A169" s="17" t="s">
        <v>31</v>
      </c>
      <c r="B169" s="17" t="s">
        <v>599</v>
      </c>
      <c r="C169" s="17" t="s">
        <v>34</v>
      </c>
      <c r="G169" s="18">
        <v>19</v>
      </c>
      <c r="H169" s="1" t="s">
        <v>182</v>
      </c>
      <c r="I169" s="1" t="str">
        <f t="shared" si="89"/>
        <v>B019</v>
      </c>
      <c r="J169" s="3" t="s">
        <v>5</v>
      </c>
      <c r="K169" s="2">
        <f t="shared" si="97"/>
        <v>2</v>
      </c>
      <c r="L169" s="2">
        <f t="shared" si="98"/>
        <v>2</v>
      </c>
      <c r="M169" s="2" cm="1">
        <f t="array" ref="M169">MATCH(TRUE,P169:AD169&lt;&gt;"",0)-1</f>
        <v>2</v>
      </c>
      <c r="N169" s="11">
        <f t="shared" si="81"/>
        <v>16.666666666666664</v>
      </c>
      <c r="O169" s="11" t="str">
        <f t="shared" si="82"/>
        <v>★★★</v>
      </c>
      <c r="R169" s="1" t="s">
        <v>36</v>
      </c>
      <c r="AA169" s="1" t="s">
        <v>515</v>
      </c>
    </row>
    <row r="170" spans="1:32">
      <c r="A170" s="17" t="s">
        <v>31</v>
      </c>
      <c r="B170" s="17" t="s">
        <v>599</v>
      </c>
      <c r="C170" s="17" t="s">
        <v>34</v>
      </c>
      <c r="G170" s="18">
        <v>20</v>
      </c>
      <c r="H170" s="1" t="s">
        <v>152</v>
      </c>
      <c r="I170" s="1" t="str">
        <f t="shared" si="89"/>
        <v>B020</v>
      </c>
      <c r="J170" s="3" t="s">
        <v>5</v>
      </c>
      <c r="K170" s="2">
        <f t="shared" si="97"/>
        <v>3</v>
      </c>
      <c r="L170" s="2">
        <f t="shared" si="98"/>
        <v>2</v>
      </c>
      <c r="M170" s="2" cm="1">
        <f t="array" ref="M170">MATCH(TRUE,P170:AD170&lt;&gt;"",0)-1</f>
        <v>0</v>
      </c>
      <c r="N170" s="11">
        <f t="shared" si="81"/>
        <v>16.666666666666664</v>
      </c>
      <c r="O170" s="11" t="str">
        <f t="shared" si="82"/>
        <v>★★★</v>
      </c>
      <c r="P170" s="1" t="s">
        <v>153</v>
      </c>
      <c r="T170" s="1" t="s">
        <v>241</v>
      </c>
      <c r="AB170" s="1" t="s">
        <v>569</v>
      </c>
    </row>
    <row r="171" spans="1:32">
      <c r="A171" s="17" t="s">
        <v>31</v>
      </c>
      <c r="B171" s="17" t="s">
        <v>599</v>
      </c>
      <c r="C171" s="17" t="s">
        <v>34</v>
      </c>
      <c r="G171" s="18">
        <v>21</v>
      </c>
      <c r="H171" s="1" t="s">
        <v>295</v>
      </c>
      <c r="I171" s="1" t="str">
        <f t="shared" si="89"/>
        <v>B021</v>
      </c>
      <c r="J171" s="3" t="s">
        <v>5</v>
      </c>
      <c r="K171" s="2">
        <f t="shared" si="97"/>
        <v>1</v>
      </c>
      <c r="L171" s="2">
        <f t="shared" si="98"/>
        <v>1</v>
      </c>
      <c r="M171" s="2" cm="1">
        <f t="array" ref="M171">MATCH(TRUE,P171:AD171&lt;&gt;"",0)-1</f>
        <v>5</v>
      </c>
      <c r="N171" s="11">
        <f t="shared" si="81"/>
        <v>8.3333333333333321</v>
      </c>
      <c r="O171" s="11" t="str">
        <f t="shared" si="82"/>
        <v>★★</v>
      </c>
      <c r="U171" s="1" t="s">
        <v>294</v>
      </c>
    </row>
    <row r="172" spans="1:32">
      <c r="A172" s="17" t="s">
        <v>31</v>
      </c>
      <c r="B172" s="17" t="s">
        <v>599</v>
      </c>
      <c r="C172" s="17" t="s">
        <v>34</v>
      </c>
      <c r="G172" s="18">
        <v>22</v>
      </c>
      <c r="H172" s="1" t="s">
        <v>339</v>
      </c>
      <c r="I172" s="1" t="str">
        <f t="shared" si="89"/>
        <v>B022</v>
      </c>
      <c r="J172" s="3" t="s">
        <v>5</v>
      </c>
      <c r="K172" s="2">
        <f t="shared" ref="K172" si="107">COUNTA(P172:AS172)</f>
        <v>2</v>
      </c>
      <c r="L172" s="2">
        <f t="shared" ref="L172" si="108">COUNTA(Q172:AT172)</f>
        <v>2</v>
      </c>
      <c r="M172" s="2" cm="1">
        <f t="array" ref="M172">MATCH(TRUE,P172:AD172&lt;&gt;"",0)-1</f>
        <v>6</v>
      </c>
      <c r="N172" s="11">
        <f t="shared" si="81"/>
        <v>16.666666666666664</v>
      </c>
      <c r="O172" s="11" t="str">
        <f t="shared" si="82"/>
        <v>★★★</v>
      </c>
      <c r="V172" s="1" t="s">
        <v>338</v>
      </c>
      <c r="Z172" s="1" t="s">
        <v>514</v>
      </c>
    </row>
    <row r="173" spans="1:32">
      <c r="A173" s="17" t="s">
        <v>31</v>
      </c>
      <c r="B173" s="17" t="s">
        <v>599</v>
      </c>
      <c r="C173" s="17" t="s">
        <v>34</v>
      </c>
      <c r="G173" s="18">
        <v>23</v>
      </c>
      <c r="H173" s="1" t="s">
        <v>584</v>
      </c>
      <c r="I173" s="1" t="str">
        <f t="shared" si="89"/>
        <v>B023</v>
      </c>
      <c r="J173" s="3" t="s">
        <v>5</v>
      </c>
      <c r="K173" s="2">
        <f t="shared" ref="K173" si="109">COUNTA(P173:AS173)</f>
        <v>1</v>
      </c>
      <c r="L173" s="2">
        <f t="shared" ref="L173" si="110">COUNTA(Q173:AT173)</f>
        <v>1</v>
      </c>
      <c r="M173" s="2" cm="1">
        <f t="array" ref="M173">MATCH(TRUE,P173:AD173&lt;&gt;"",0)-1</f>
        <v>13</v>
      </c>
      <c r="N173" s="11">
        <f t="shared" si="81"/>
        <v>0</v>
      </c>
      <c r="O173" s="11" t="str">
        <f t="shared" si="82"/>
        <v>★</v>
      </c>
      <c r="AC173" s="1" t="s">
        <v>565</v>
      </c>
    </row>
    <row r="174" spans="1:32">
      <c r="A174" s="17" t="s">
        <v>31</v>
      </c>
      <c r="B174" s="17" t="s">
        <v>599</v>
      </c>
      <c r="C174" s="17" t="s">
        <v>34</v>
      </c>
      <c r="D174" s="1" t="s">
        <v>157</v>
      </c>
      <c r="F174" s="2">
        <f>SUM(K174:K176)</f>
        <v>5</v>
      </c>
      <c r="G174" s="18">
        <v>24</v>
      </c>
      <c r="H174" s="1" t="s">
        <v>186</v>
      </c>
      <c r="I174" s="1" t="str">
        <f t="shared" si="89"/>
        <v>B024</v>
      </c>
      <c r="J174" s="3" t="s">
        <v>5</v>
      </c>
      <c r="K174" s="2">
        <f t="shared" si="97"/>
        <v>2</v>
      </c>
      <c r="L174" s="2">
        <f t="shared" si="98"/>
        <v>2</v>
      </c>
      <c r="M174" s="2" cm="1">
        <f t="array" ref="M174">MATCH(TRUE,P174:AD174&lt;&gt;"",0)-1</f>
        <v>2</v>
      </c>
      <c r="N174" s="11">
        <f t="shared" si="81"/>
        <v>16.666666666666664</v>
      </c>
      <c r="O174" s="11" t="str">
        <f t="shared" si="82"/>
        <v>★★★</v>
      </c>
      <c r="R174" s="1" t="s">
        <v>46</v>
      </c>
      <c r="W174" s="1" t="s">
        <v>389</v>
      </c>
    </row>
    <row r="175" spans="1:32">
      <c r="A175" s="17" t="s">
        <v>31</v>
      </c>
      <c r="B175" s="17" t="s">
        <v>599</v>
      </c>
      <c r="C175" s="17" t="s">
        <v>34</v>
      </c>
      <c r="G175" s="18">
        <v>25</v>
      </c>
      <c r="H175" s="1" t="s">
        <v>199</v>
      </c>
      <c r="I175" s="1" t="str">
        <f t="shared" si="89"/>
        <v>B025</v>
      </c>
      <c r="J175" s="3" t="s">
        <v>5</v>
      </c>
      <c r="K175" s="2">
        <f t="shared" si="97"/>
        <v>2</v>
      </c>
      <c r="L175" s="2">
        <f t="shared" si="98"/>
        <v>2</v>
      </c>
      <c r="M175" s="2" cm="1">
        <f t="array" ref="M175">MATCH(TRUE,P175:AD175&lt;&gt;"",0)-1</f>
        <v>3</v>
      </c>
      <c r="N175" s="11">
        <f t="shared" si="81"/>
        <v>16.666666666666664</v>
      </c>
      <c r="O175" s="11" t="str">
        <f t="shared" si="82"/>
        <v>★★★</v>
      </c>
      <c r="S175" s="1" t="s">
        <v>38</v>
      </c>
      <c r="Y175" s="1" t="s">
        <v>470</v>
      </c>
    </row>
    <row r="176" spans="1:32">
      <c r="A176" s="17" t="s">
        <v>31</v>
      </c>
      <c r="B176" s="17" t="s">
        <v>599</v>
      </c>
      <c r="C176" s="17" t="s">
        <v>34</v>
      </c>
      <c r="G176" s="18">
        <v>26</v>
      </c>
      <c r="H176" s="1" t="s">
        <v>336</v>
      </c>
      <c r="I176" s="1" t="str">
        <f t="shared" si="89"/>
        <v>B026</v>
      </c>
      <c r="J176" s="4" t="s">
        <v>6</v>
      </c>
      <c r="K176" s="2">
        <f t="shared" ref="K176" si="111">COUNTA(P176:AS176)</f>
        <v>1</v>
      </c>
      <c r="L176" s="2">
        <f t="shared" ref="L176" si="112">COUNTA(Q176:AT176)</f>
        <v>1</v>
      </c>
      <c r="M176" s="2" cm="1">
        <f t="array" ref="M176">MATCH(TRUE,P176:AD176&lt;&gt;"",0)-1</f>
        <v>6</v>
      </c>
      <c r="N176" s="11">
        <f t="shared" si="81"/>
        <v>8.3333333333333321</v>
      </c>
      <c r="O176" s="11" t="str">
        <f t="shared" si="82"/>
        <v>★★</v>
      </c>
      <c r="V176" s="1" t="s">
        <v>337</v>
      </c>
    </row>
    <row r="177" spans="1:29">
      <c r="A177" s="17" t="s">
        <v>31</v>
      </c>
      <c r="B177" s="17" t="s">
        <v>599</v>
      </c>
      <c r="C177" s="1" t="s">
        <v>37</v>
      </c>
      <c r="D177" s="1" t="s">
        <v>348</v>
      </c>
      <c r="F177" s="2">
        <f>SUM(K177:K178)</f>
        <v>8</v>
      </c>
      <c r="G177" s="18">
        <v>27</v>
      </c>
      <c r="H177" s="1" t="s">
        <v>201</v>
      </c>
      <c r="I177" s="1" t="str">
        <f t="shared" si="89"/>
        <v>B027</v>
      </c>
      <c r="J177" s="3" t="s">
        <v>5</v>
      </c>
      <c r="K177" s="2">
        <f t="shared" si="97"/>
        <v>6</v>
      </c>
      <c r="L177" s="2">
        <f t="shared" si="98"/>
        <v>5</v>
      </c>
      <c r="M177" s="2" cm="1">
        <f t="array" ref="M177">MATCH(TRUE,P177:AD177&lt;&gt;"",0)-1</f>
        <v>0</v>
      </c>
      <c r="N177" s="11">
        <f t="shared" si="81"/>
        <v>33.333333333333329</v>
      </c>
      <c r="O177" s="11" t="str">
        <f t="shared" si="82"/>
        <v>★★★★★</v>
      </c>
      <c r="P177" s="1" t="s">
        <v>46</v>
      </c>
      <c r="Q177" s="1" t="s">
        <v>38</v>
      </c>
      <c r="S177" s="1" t="s">
        <v>41</v>
      </c>
      <c r="Y177" s="1" t="s">
        <v>472</v>
      </c>
      <c r="Z177" s="1" t="s">
        <v>516</v>
      </c>
      <c r="AC177" s="1" t="s">
        <v>571</v>
      </c>
    </row>
    <row r="178" spans="1:29">
      <c r="A178" s="17" t="s">
        <v>31</v>
      </c>
      <c r="B178" s="17" t="s">
        <v>599</v>
      </c>
      <c r="C178" s="17" t="s">
        <v>37</v>
      </c>
      <c r="G178" s="18">
        <v>28</v>
      </c>
      <c r="H178" s="1" t="s">
        <v>347</v>
      </c>
      <c r="I178" s="1" t="str">
        <f t="shared" si="89"/>
        <v>B028</v>
      </c>
      <c r="J178" s="3" t="s">
        <v>5</v>
      </c>
      <c r="K178" s="2">
        <f t="shared" ref="K178" si="113">COUNTA(P178:AS178)</f>
        <v>2</v>
      </c>
      <c r="L178" s="2">
        <f t="shared" ref="L178" si="114">COUNTA(Q178:AT178)</f>
        <v>2</v>
      </c>
      <c r="M178" s="2" cm="1">
        <f t="array" ref="M178">MATCH(TRUE,P178:AD178&lt;&gt;"",0)-1</f>
        <v>6</v>
      </c>
      <c r="N178" s="11">
        <f t="shared" si="81"/>
        <v>16.666666666666664</v>
      </c>
      <c r="O178" s="11" t="str">
        <f t="shared" si="82"/>
        <v>★★★</v>
      </c>
      <c r="V178" s="1" t="s">
        <v>346</v>
      </c>
      <c r="AA178" s="1" t="s">
        <v>529</v>
      </c>
    </row>
    <row r="179" spans="1:29">
      <c r="A179" s="17" t="s">
        <v>31</v>
      </c>
      <c r="B179" s="17" t="s">
        <v>599</v>
      </c>
      <c r="C179" s="17" t="s">
        <v>37</v>
      </c>
      <c r="D179" s="1" t="s">
        <v>89</v>
      </c>
      <c r="F179" s="2">
        <f>SUM(K179:K181)</f>
        <v>9</v>
      </c>
      <c r="G179" s="18">
        <v>29</v>
      </c>
      <c r="H179" s="1" t="s">
        <v>168</v>
      </c>
      <c r="I179" s="1" t="str">
        <f t="shared" si="89"/>
        <v>B029</v>
      </c>
      <c r="J179" s="3" t="s">
        <v>5</v>
      </c>
      <c r="K179" s="2">
        <f t="shared" si="97"/>
        <v>3</v>
      </c>
      <c r="L179" s="2">
        <f t="shared" si="98"/>
        <v>3</v>
      </c>
      <c r="M179" s="2" cm="1">
        <f t="array" ref="M179">MATCH(TRUE,P179:AD179&lt;&gt;"",0)-1</f>
        <v>2</v>
      </c>
      <c r="N179" s="11">
        <f t="shared" si="81"/>
        <v>25</v>
      </c>
      <c r="O179" s="11" t="str">
        <f t="shared" si="82"/>
        <v>★★★★</v>
      </c>
      <c r="R179" s="1" t="s">
        <v>39</v>
      </c>
      <c r="W179" s="1" t="s">
        <v>382</v>
      </c>
      <c r="AB179" s="1" t="s">
        <v>572</v>
      </c>
    </row>
    <row r="180" spans="1:29">
      <c r="A180" s="17" t="s">
        <v>31</v>
      </c>
      <c r="B180" s="17" t="s">
        <v>599</v>
      </c>
      <c r="C180" s="17" t="s">
        <v>37</v>
      </c>
      <c r="G180" s="18">
        <v>30</v>
      </c>
      <c r="H180" s="1" t="s">
        <v>298</v>
      </c>
      <c r="I180" s="1" t="str">
        <f t="shared" si="89"/>
        <v>B030</v>
      </c>
      <c r="J180" s="3" t="s">
        <v>5</v>
      </c>
      <c r="K180" s="2">
        <f t="shared" si="97"/>
        <v>2</v>
      </c>
      <c r="L180" s="2">
        <f t="shared" si="98"/>
        <v>2</v>
      </c>
      <c r="M180" s="2" cm="1">
        <f t="array" ref="M180">MATCH(TRUE,P180:AD180&lt;&gt;"",0)-1</f>
        <v>5</v>
      </c>
      <c r="N180" s="11">
        <f t="shared" si="81"/>
        <v>16.666666666666664</v>
      </c>
      <c r="O180" s="11" t="str">
        <f t="shared" si="82"/>
        <v>★★★</v>
      </c>
      <c r="U180" s="1" t="s">
        <v>299</v>
      </c>
      <c r="X180" s="1" t="s">
        <v>417</v>
      </c>
    </row>
    <row r="181" spans="1:29">
      <c r="A181" s="17" t="s">
        <v>31</v>
      </c>
      <c r="B181" s="17" t="s">
        <v>599</v>
      </c>
      <c r="C181" s="17" t="s">
        <v>37</v>
      </c>
      <c r="G181" s="18">
        <v>31</v>
      </c>
      <c r="H181" s="1" t="s">
        <v>243</v>
      </c>
      <c r="I181" s="1" t="str">
        <f t="shared" si="89"/>
        <v>B031</v>
      </c>
      <c r="J181" s="4" t="s">
        <v>6</v>
      </c>
      <c r="K181" s="2">
        <f t="shared" si="97"/>
        <v>4</v>
      </c>
      <c r="L181" s="2">
        <f t="shared" si="98"/>
        <v>3</v>
      </c>
      <c r="M181" s="2" cm="1">
        <f t="array" ref="M181">MATCH(TRUE,P181:AD181&lt;&gt;"",0)-1</f>
        <v>0</v>
      </c>
      <c r="N181" s="11">
        <f t="shared" si="81"/>
        <v>25</v>
      </c>
      <c r="O181" s="11" t="str">
        <f t="shared" si="82"/>
        <v>★★★★</v>
      </c>
      <c r="P181" s="1" t="s">
        <v>160</v>
      </c>
      <c r="T181" s="1" t="s">
        <v>242</v>
      </c>
      <c r="V181" s="1" t="s">
        <v>340</v>
      </c>
      <c r="Z181" s="1" t="s">
        <v>515</v>
      </c>
    </row>
    <row r="182" spans="1:29">
      <c r="A182" s="17" t="s">
        <v>31</v>
      </c>
      <c r="B182" s="17" t="s">
        <v>599</v>
      </c>
      <c r="C182" s="17" t="s">
        <v>37</v>
      </c>
      <c r="D182" s="1" t="s">
        <v>90</v>
      </c>
      <c r="F182" s="2">
        <f>SUM(K182:K189)</f>
        <v>17</v>
      </c>
      <c r="G182" s="18">
        <v>32</v>
      </c>
      <c r="H182" s="1" t="s">
        <v>200</v>
      </c>
      <c r="I182" s="1" t="str">
        <f t="shared" si="89"/>
        <v>B032</v>
      </c>
      <c r="J182" s="4" t="s">
        <v>6</v>
      </c>
      <c r="K182" s="2">
        <f t="shared" si="97"/>
        <v>5</v>
      </c>
      <c r="L182" s="2">
        <f t="shared" si="98"/>
        <v>5</v>
      </c>
      <c r="M182" s="2" cm="1">
        <f t="array" ref="M182">MATCH(TRUE,P182:AD182&lt;&gt;"",0)-1</f>
        <v>1</v>
      </c>
      <c r="N182" s="11">
        <f t="shared" si="81"/>
        <v>33.333333333333329</v>
      </c>
      <c r="O182" s="11" t="str">
        <f t="shared" si="82"/>
        <v>★★★★★</v>
      </c>
      <c r="Q182" s="1" t="s">
        <v>39</v>
      </c>
      <c r="S182" s="1" t="s">
        <v>39</v>
      </c>
      <c r="X182" s="1" t="s">
        <v>416</v>
      </c>
      <c r="Y182" s="1" t="s">
        <v>473</v>
      </c>
      <c r="AC182" s="1" t="s">
        <v>568</v>
      </c>
    </row>
    <row r="183" spans="1:29">
      <c r="A183" s="17" t="s">
        <v>31</v>
      </c>
      <c r="B183" s="17" t="s">
        <v>599</v>
      </c>
      <c r="C183" s="17" t="s">
        <v>37</v>
      </c>
      <c r="G183" s="18">
        <v>33</v>
      </c>
      <c r="H183" s="1" t="s">
        <v>183</v>
      </c>
      <c r="I183" s="1" t="str">
        <f t="shared" si="89"/>
        <v>B033</v>
      </c>
      <c r="J183" s="4" t="s">
        <v>6</v>
      </c>
      <c r="K183" s="2">
        <f t="shared" si="97"/>
        <v>2</v>
      </c>
      <c r="L183" s="2">
        <f t="shared" si="98"/>
        <v>2</v>
      </c>
      <c r="M183" s="2" cm="1">
        <f t="array" ref="M183">MATCH(TRUE,P183:AD183&lt;&gt;"",0)-1</f>
        <v>2</v>
      </c>
      <c r="N183" s="11">
        <f t="shared" si="81"/>
        <v>16.666666666666664</v>
      </c>
      <c r="O183" s="11" t="str">
        <f t="shared" si="82"/>
        <v>★★★</v>
      </c>
      <c r="R183" s="1" t="s">
        <v>38</v>
      </c>
      <c r="U183" s="1" t="s">
        <v>297</v>
      </c>
    </row>
    <row r="184" spans="1:29">
      <c r="A184" s="17" t="s">
        <v>31</v>
      </c>
      <c r="B184" s="17" t="s">
        <v>599</v>
      </c>
      <c r="C184" s="17" t="s">
        <v>37</v>
      </c>
      <c r="G184" s="18">
        <v>34</v>
      </c>
      <c r="H184" s="1" t="s">
        <v>154</v>
      </c>
      <c r="I184" s="1" t="str">
        <f t="shared" si="89"/>
        <v>B034</v>
      </c>
      <c r="J184" s="3" t="s">
        <v>5</v>
      </c>
      <c r="K184" s="2">
        <f t="shared" si="97"/>
        <v>3</v>
      </c>
      <c r="L184" s="2">
        <f t="shared" si="98"/>
        <v>2</v>
      </c>
      <c r="M184" s="2" cm="1">
        <f t="array" ref="M184">MATCH(TRUE,P184:AD184&lt;&gt;"",0)-1</f>
        <v>0</v>
      </c>
      <c r="N184" s="11">
        <f t="shared" si="81"/>
        <v>8.3333333333333321</v>
      </c>
      <c r="O184" s="11" t="str">
        <f t="shared" si="82"/>
        <v>★★</v>
      </c>
      <c r="P184" s="1" t="s">
        <v>155</v>
      </c>
      <c r="V184" s="1" t="s">
        <v>341</v>
      </c>
      <c r="AC184" s="1" t="s">
        <v>569</v>
      </c>
    </row>
    <row r="185" spans="1:29">
      <c r="A185" s="17" t="s">
        <v>31</v>
      </c>
      <c r="B185" s="17" t="s">
        <v>599</v>
      </c>
      <c r="C185" s="17" t="s">
        <v>37</v>
      </c>
      <c r="G185" s="18">
        <v>35</v>
      </c>
      <c r="H185" s="1" t="s">
        <v>74</v>
      </c>
      <c r="I185" s="1" t="str">
        <f t="shared" si="89"/>
        <v>B035</v>
      </c>
      <c r="J185" s="3" t="s">
        <v>5</v>
      </c>
      <c r="K185" s="2">
        <f t="shared" si="97"/>
        <v>1</v>
      </c>
      <c r="L185" s="2">
        <f t="shared" si="98"/>
        <v>1</v>
      </c>
      <c r="M185" s="2" cm="1">
        <f t="array" ref="M185">MATCH(TRUE,P185:AD185&lt;&gt;"",0)-1</f>
        <v>2</v>
      </c>
      <c r="N185" s="11">
        <f t="shared" si="81"/>
        <v>8.3333333333333321</v>
      </c>
      <c r="O185" s="11" t="str">
        <f t="shared" si="82"/>
        <v>★★</v>
      </c>
      <c r="R185" s="1" t="s">
        <v>47</v>
      </c>
    </row>
    <row r="186" spans="1:29">
      <c r="A186" s="17" t="s">
        <v>31</v>
      </c>
      <c r="B186" s="17" t="s">
        <v>599</v>
      </c>
      <c r="C186" s="17" t="s">
        <v>37</v>
      </c>
      <c r="G186" s="18">
        <v>36</v>
      </c>
      <c r="H186" s="1" t="s">
        <v>204</v>
      </c>
      <c r="I186" s="1" t="str">
        <f t="shared" si="89"/>
        <v>B036</v>
      </c>
      <c r="J186" s="3" t="s">
        <v>5</v>
      </c>
      <c r="K186" s="2">
        <f t="shared" si="97"/>
        <v>3</v>
      </c>
      <c r="L186" s="2">
        <f t="shared" si="98"/>
        <v>3</v>
      </c>
      <c r="M186" s="2" cm="1">
        <f t="array" ref="M186">MATCH(TRUE,P186:AD186&lt;&gt;"",0)-1</f>
        <v>3</v>
      </c>
      <c r="N186" s="11">
        <f t="shared" si="81"/>
        <v>25</v>
      </c>
      <c r="O186" s="11" t="str">
        <f t="shared" si="82"/>
        <v>★★★★</v>
      </c>
      <c r="S186" s="1" t="s">
        <v>46</v>
      </c>
      <c r="X186" s="1" t="s">
        <v>428</v>
      </c>
      <c r="Z186" s="1" t="s">
        <v>529</v>
      </c>
    </row>
    <row r="187" spans="1:29">
      <c r="A187" s="17" t="s">
        <v>31</v>
      </c>
      <c r="B187" s="17" t="s">
        <v>599</v>
      </c>
      <c r="C187" s="17" t="s">
        <v>37</v>
      </c>
      <c r="G187" s="18">
        <v>37</v>
      </c>
      <c r="H187" s="1" t="s">
        <v>244</v>
      </c>
      <c r="I187" s="1" t="str">
        <f t="shared" si="89"/>
        <v>B037</v>
      </c>
      <c r="J187" s="3" t="s">
        <v>5</v>
      </c>
      <c r="K187" s="2">
        <f t="shared" si="97"/>
        <v>1</v>
      </c>
      <c r="L187" s="2">
        <f t="shared" si="98"/>
        <v>1</v>
      </c>
      <c r="M187" s="2" cm="1">
        <f t="array" ref="M187">MATCH(TRUE,P187:AD187&lt;&gt;"",0)-1</f>
        <v>4</v>
      </c>
      <c r="N187" s="11">
        <f t="shared" si="81"/>
        <v>8.3333333333333321</v>
      </c>
      <c r="O187" s="11" t="str">
        <f t="shared" si="82"/>
        <v>★★</v>
      </c>
      <c r="T187" s="1" t="s">
        <v>245</v>
      </c>
    </row>
    <row r="188" spans="1:29">
      <c r="A188" s="17" t="s">
        <v>31</v>
      </c>
      <c r="B188" s="17" t="s">
        <v>599</v>
      </c>
      <c r="C188" s="17" t="s">
        <v>37</v>
      </c>
      <c r="G188" s="18">
        <v>38</v>
      </c>
      <c r="H188" s="1" t="s">
        <v>474</v>
      </c>
      <c r="I188" s="1" t="str">
        <f t="shared" si="89"/>
        <v>B038</v>
      </c>
      <c r="J188" s="3" t="s">
        <v>5</v>
      </c>
      <c r="K188" s="2">
        <f t="shared" ref="K188" si="115">COUNTA(P188:AS188)</f>
        <v>1</v>
      </c>
      <c r="L188" s="2">
        <f t="shared" ref="L188" si="116">COUNTA(Q188:AT188)</f>
        <v>1</v>
      </c>
      <c r="M188" s="2" cm="1">
        <f t="array" ref="M188">MATCH(TRUE,P188:AD188&lt;&gt;"",0)-1</f>
        <v>9</v>
      </c>
      <c r="N188" s="11">
        <f t="shared" si="81"/>
        <v>8.3333333333333321</v>
      </c>
      <c r="O188" s="11" t="str">
        <f t="shared" si="82"/>
        <v>★★</v>
      </c>
      <c r="Y188" s="1" t="s">
        <v>475</v>
      </c>
    </row>
    <row r="189" spans="1:29">
      <c r="A189" s="17" t="s">
        <v>31</v>
      </c>
      <c r="B189" s="17" t="s">
        <v>599</v>
      </c>
      <c r="C189" s="17" t="s">
        <v>37</v>
      </c>
      <c r="D189" s="1" t="s">
        <v>536</v>
      </c>
      <c r="G189" s="18">
        <v>39</v>
      </c>
      <c r="H189" s="1" t="s">
        <v>390</v>
      </c>
      <c r="I189" s="1" t="str">
        <f t="shared" si="89"/>
        <v>B039</v>
      </c>
      <c r="J189" s="3" t="s">
        <v>5</v>
      </c>
      <c r="K189" s="2">
        <f t="shared" ref="K189" si="117">COUNTA(P189:AS189)</f>
        <v>1</v>
      </c>
      <c r="L189" s="2">
        <f t="shared" ref="L189" si="118">COUNTA(Q189:AT189)</f>
        <v>1</v>
      </c>
      <c r="M189" s="2" cm="1">
        <f t="array" ref="M189">MATCH(TRUE,P189:AD189&lt;&gt;"",0)-1</f>
        <v>7</v>
      </c>
      <c r="N189" s="11">
        <f t="shared" si="81"/>
        <v>8.3333333333333321</v>
      </c>
      <c r="O189" s="11" t="str">
        <f t="shared" si="82"/>
        <v>★★</v>
      </c>
      <c r="W189" s="1" t="s">
        <v>391</v>
      </c>
    </row>
    <row r="190" spans="1:29">
      <c r="A190" s="17" t="s">
        <v>31</v>
      </c>
      <c r="B190" s="17" t="s">
        <v>599</v>
      </c>
      <c r="C190" s="17" t="s">
        <v>37</v>
      </c>
      <c r="G190" s="18">
        <v>40</v>
      </c>
      <c r="H190" s="1" t="s">
        <v>570</v>
      </c>
      <c r="I190" s="1" t="str">
        <f t="shared" si="89"/>
        <v>B040</v>
      </c>
      <c r="J190" s="3" t="s">
        <v>5</v>
      </c>
      <c r="K190" s="2">
        <f t="shared" ref="K190" si="119">COUNTA(P190:AS190)</f>
        <v>1</v>
      </c>
      <c r="L190" s="2">
        <f t="shared" ref="L190" si="120">COUNTA(Q190:AT190)</f>
        <v>1</v>
      </c>
      <c r="M190" s="2" cm="1">
        <f t="array" ref="M190">MATCH(TRUE,P190:AD190&lt;&gt;"",0)-1</f>
        <v>12</v>
      </c>
      <c r="N190" s="11">
        <f t="shared" si="81"/>
        <v>8.3333333333333321</v>
      </c>
      <c r="O190" s="11" t="str">
        <f t="shared" si="82"/>
        <v>★★</v>
      </c>
      <c r="AB190" s="1" t="s">
        <v>571</v>
      </c>
    </row>
    <row r="191" spans="1:29">
      <c r="A191" s="17" t="s">
        <v>31</v>
      </c>
      <c r="B191" s="17" t="s">
        <v>599</v>
      </c>
      <c r="C191" s="17" t="s">
        <v>37</v>
      </c>
      <c r="G191" s="18">
        <v>41</v>
      </c>
      <c r="H191" s="1" t="s">
        <v>537</v>
      </c>
      <c r="I191" s="1" t="str">
        <f t="shared" si="89"/>
        <v>B041</v>
      </c>
      <c r="J191" s="3" t="s">
        <v>5</v>
      </c>
      <c r="K191" s="2">
        <f t="shared" ref="K191" si="121">COUNTA(P191:AS191)</f>
        <v>1</v>
      </c>
      <c r="L191" s="2">
        <f t="shared" ref="L191" si="122">COUNTA(Q191:AT191)</f>
        <v>1</v>
      </c>
      <c r="M191" s="2" cm="1">
        <f t="array" ref="M191">MATCH(TRUE,P191:AD191&lt;&gt;"",0)-1</f>
        <v>11</v>
      </c>
      <c r="N191" s="11">
        <f t="shared" si="81"/>
        <v>8.3333333333333321</v>
      </c>
      <c r="O191" s="11" t="str">
        <f t="shared" si="82"/>
        <v>★★</v>
      </c>
      <c r="AA191" s="1" t="s">
        <v>516</v>
      </c>
    </row>
    <row r="192" spans="1:29">
      <c r="A192" s="1" t="s">
        <v>169</v>
      </c>
      <c r="B192" s="1" t="s">
        <v>600</v>
      </c>
      <c r="C192" s="1" t="s">
        <v>601</v>
      </c>
      <c r="F192" s="2">
        <f>SUM(K192:K205)</f>
        <v>22</v>
      </c>
      <c r="G192" s="18">
        <v>1</v>
      </c>
      <c r="H192" s="1" t="s">
        <v>105</v>
      </c>
      <c r="I192" s="1" t="str">
        <f t="shared" si="89"/>
        <v>S001</v>
      </c>
      <c r="J192" s="3" t="s">
        <v>5</v>
      </c>
      <c r="K192" s="2">
        <f t="shared" si="97"/>
        <v>3</v>
      </c>
      <c r="L192" s="2">
        <f t="shared" si="98"/>
        <v>3</v>
      </c>
      <c r="M192" s="2" cm="1">
        <f t="array" ref="M192">MATCH(TRUE,P192:AD192&lt;&gt;"",0)-1</f>
        <v>1</v>
      </c>
      <c r="N192" s="11">
        <f t="shared" si="81"/>
        <v>25</v>
      </c>
      <c r="O192" s="11" t="str">
        <f t="shared" si="82"/>
        <v>★★★★</v>
      </c>
      <c r="Q192" s="1" t="s">
        <v>41</v>
      </c>
      <c r="T192" s="1" t="s">
        <v>257</v>
      </c>
      <c r="Y192" s="1" t="s">
        <v>484</v>
      </c>
    </row>
    <row r="193" spans="1:29">
      <c r="A193" s="17" t="s">
        <v>169</v>
      </c>
      <c r="B193" s="17" t="s">
        <v>600</v>
      </c>
      <c r="C193" s="17" t="s">
        <v>601</v>
      </c>
      <c r="G193" s="18">
        <v>2</v>
      </c>
      <c r="H193" s="1" t="s">
        <v>184</v>
      </c>
      <c r="I193" s="1" t="str">
        <f t="shared" si="89"/>
        <v>S002</v>
      </c>
      <c r="J193" s="3" t="s">
        <v>5</v>
      </c>
      <c r="K193" s="2">
        <f t="shared" si="97"/>
        <v>2</v>
      </c>
      <c r="L193" s="2">
        <f t="shared" si="98"/>
        <v>2</v>
      </c>
      <c r="M193" s="2" cm="1">
        <f t="array" ref="M193">MATCH(TRUE,P193:AD193&lt;&gt;"",0)-1</f>
        <v>2</v>
      </c>
      <c r="N193" s="11">
        <f t="shared" ref="N193:N215" si="123">COUNTA(Q193:AB193)/COUNTA($Q$1:$AB$1)*100</f>
        <v>16.666666666666664</v>
      </c>
      <c r="O193" s="11" t="str">
        <f t="shared" ref="O193:O215" si="124">IF(N193&gt;=33,"★★★★★",IF(N193&gt;=25,"★★★★",IF(N193&gt;=15,"★★★",IF(N193&gt;=5,"★★","★"))))</f>
        <v>★★★</v>
      </c>
      <c r="R193" s="1" t="s">
        <v>41</v>
      </c>
      <c r="AB193" s="1" t="s">
        <v>573</v>
      </c>
    </row>
    <row r="194" spans="1:29">
      <c r="A194" s="17" t="s">
        <v>169</v>
      </c>
      <c r="B194" s="17" t="s">
        <v>600</v>
      </c>
      <c r="C194" s="17" t="s">
        <v>601</v>
      </c>
      <c r="G194" s="18">
        <v>3</v>
      </c>
      <c r="H194" s="1" t="s">
        <v>419</v>
      </c>
      <c r="I194" s="1" t="str">
        <f t="shared" si="89"/>
        <v>S003</v>
      </c>
      <c r="J194" s="4" t="s">
        <v>6</v>
      </c>
      <c r="K194" s="2">
        <f t="shared" ref="K194" si="125">COUNTA(P194:AS194)</f>
        <v>1</v>
      </c>
      <c r="L194" s="2">
        <f t="shared" ref="L194" si="126">COUNTA(Q194:AT194)</f>
        <v>1</v>
      </c>
      <c r="M194" s="2" cm="1">
        <f t="array" ref="M194">MATCH(TRUE,P194:AD194&lt;&gt;"",0)-1</f>
        <v>8</v>
      </c>
      <c r="N194" s="11">
        <f t="shared" si="123"/>
        <v>8.3333333333333321</v>
      </c>
      <c r="O194" s="11" t="str">
        <f t="shared" si="124"/>
        <v>★★</v>
      </c>
      <c r="X194" s="1" t="s">
        <v>420</v>
      </c>
    </row>
    <row r="195" spans="1:29">
      <c r="A195" s="17" t="s">
        <v>169</v>
      </c>
      <c r="B195" s="17" t="s">
        <v>600</v>
      </c>
      <c r="C195" s="17" t="s">
        <v>601</v>
      </c>
      <c r="G195" s="18">
        <v>4</v>
      </c>
      <c r="H195" s="1" t="s">
        <v>520</v>
      </c>
      <c r="I195" s="1" t="str">
        <f t="shared" si="89"/>
        <v>S004</v>
      </c>
      <c r="J195" s="5" t="s">
        <v>80</v>
      </c>
      <c r="K195" s="2">
        <f t="shared" si="97"/>
        <v>3</v>
      </c>
      <c r="L195" s="2">
        <f t="shared" si="98"/>
        <v>2</v>
      </c>
      <c r="M195" s="2" cm="1">
        <f t="array" ref="M195">MATCH(TRUE,P195:AD195&lt;&gt;"",0)-1</f>
        <v>0</v>
      </c>
      <c r="N195" s="11">
        <f t="shared" si="123"/>
        <v>16.666666666666664</v>
      </c>
      <c r="O195" s="11" t="str">
        <f t="shared" si="124"/>
        <v>★★★</v>
      </c>
      <c r="P195" s="1" t="s">
        <v>161</v>
      </c>
      <c r="W195" s="1" t="s">
        <v>384</v>
      </c>
      <c r="Z195" s="1" t="s">
        <v>519</v>
      </c>
    </row>
    <row r="196" spans="1:29">
      <c r="A196" s="17" t="s">
        <v>169</v>
      </c>
      <c r="B196" s="17" t="s">
        <v>600</v>
      </c>
      <c r="C196" s="17" t="s">
        <v>601</v>
      </c>
      <c r="G196" s="18">
        <v>5</v>
      </c>
      <c r="H196" s="1" t="s">
        <v>538</v>
      </c>
      <c r="I196" s="1" t="str">
        <f t="shared" si="89"/>
        <v>S005</v>
      </c>
      <c r="J196" s="3" t="s">
        <v>5</v>
      </c>
      <c r="K196" s="2">
        <f t="shared" ref="K196:K197" si="127">COUNTA(P196:AS196)</f>
        <v>1</v>
      </c>
      <c r="L196" s="2">
        <f t="shared" ref="L196:L197" si="128">COUNTA(Q196:AT196)</f>
        <v>1</v>
      </c>
      <c r="M196" s="2" cm="1">
        <f t="array" ref="M196">MATCH(TRUE,P196:AD196&lt;&gt;"",0)-1</f>
        <v>11</v>
      </c>
      <c r="N196" s="11">
        <f t="shared" si="123"/>
        <v>8.3333333333333321</v>
      </c>
      <c r="O196" s="11" t="str">
        <f t="shared" si="124"/>
        <v>★★</v>
      </c>
      <c r="AA196" s="1" t="s">
        <v>530</v>
      </c>
    </row>
    <row r="197" spans="1:29">
      <c r="A197" s="17" t="s">
        <v>169</v>
      </c>
      <c r="B197" s="17" t="s">
        <v>600</v>
      </c>
      <c r="C197" s="17" t="s">
        <v>601</v>
      </c>
      <c r="G197" s="18">
        <v>6</v>
      </c>
      <c r="H197" s="1" t="s">
        <v>166</v>
      </c>
      <c r="I197" s="1" t="str">
        <f t="shared" si="89"/>
        <v>S006</v>
      </c>
      <c r="J197" s="3" t="s">
        <v>5</v>
      </c>
      <c r="K197" s="2">
        <f t="shared" si="127"/>
        <v>1</v>
      </c>
      <c r="L197" s="2">
        <f t="shared" si="128"/>
        <v>0</v>
      </c>
      <c r="M197" s="2" cm="1">
        <f t="array" ref="M197">MATCH(TRUE,P197:AD197&lt;&gt;"",0)-1</f>
        <v>0</v>
      </c>
      <c r="N197" s="11">
        <f t="shared" si="123"/>
        <v>0</v>
      </c>
      <c r="O197" s="11" t="str">
        <f t="shared" si="124"/>
        <v>★</v>
      </c>
      <c r="P197" s="1" t="s">
        <v>47</v>
      </c>
    </row>
    <row r="198" spans="1:29">
      <c r="A198" s="17" t="s">
        <v>169</v>
      </c>
      <c r="B198" s="17" t="s">
        <v>600</v>
      </c>
      <c r="C198" s="17" t="s">
        <v>601</v>
      </c>
      <c r="G198" s="18">
        <v>7</v>
      </c>
      <c r="H198" s="1" t="s">
        <v>574</v>
      </c>
      <c r="I198" s="1" t="str">
        <f t="shared" si="89"/>
        <v>S007</v>
      </c>
      <c r="J198" s="3" t="s">
        <v>5</v>
      </c>
      <c r="K198" s="2">
        <f t="shared" si="97"/>
        <v>1</v>
      </c>
      <c r="L198" s="2">
        <f t="shared" si="98"/>
        <v>1</v>
      </c>
      <c r="M198" s="2" cm="1">
        <f t="array" ref="M198">MATCH(TRUE,P198:AD198&lt;&gt;"",0)-1</f>
        <v>12</v>
      </c>
      <c r="N198" s="11">
        <f t="shared" si="123"/>
        <v>8.3333333333333321</v>
      </c>
      <c r="O198" s="11" t="str">
        <f t="shared" si="124"/>
        <v>★★</v>
      </c>
      <c r="AB198" s="1" t="s">
        <v>575</v>
      </c>
    </row>
    <row r="199" spans="1:29">
      <c r="A199" s="17" t="s">
        <v>169</v>
      </c>
      <c r="B199" s="17" t="s">
        <v>600</v>
      </c>
      <c r="C199" s="17" t="s">
        <v>601</v>
      </c>
      <c r="G199" s="18">
        <v>8</v>
      </c>
      <c r="H199" s="1" t="s">
        <v>585</v>
      </c>
      <c r="I199" s="1" t="str">
        <f t="shared" si="89"/>
        <v>S008</v>
      </c>
      <c r="J199" s="3" t="s">
        <v>5</v>
      </c>
      <c r="K199" s="2">
        <f t="shared" ref="K199" si="129">COUNTA(P199:AS199)</f>
        <v>1</v>
      </c>
      <c r="L199" s="2">
        <f t="shared" ref="L199" si="130">COUNTA(Q199:AT199)</f>
        <v>1</v>
      </c>
      <c r="M199" s="2" cm="1">
        <f t="array" ref="M199">MATCH(TRUE,P199:AD199&lt;&gt;"",0)-1</f>
        <v>13</v>
      </c>
      <c r="N199" s="11">
        <f t="shared" si="123"/>
        <v>0</v>
      </c>
      <c r="O199" s="11" t="str">
        <f t="shared" si="124"/>
        <v>★</v>
      </c>
      <c r="AC199" s="1" t="s">
        <v>575</v>
      </c>
    </row>
    <row r="200" spans="1:29">
      <c r="A200" s="17" t="s">
        <v>169</v>
      </c>
      <c r="B200" s="17" t="s">
        <v>600</v>
      </c>
      <c r="C200" s="17" t="s">
        <v>601</v>
      </c>
      <c r="G200" s="18">
        <v>9</v>
      </c>
      <c r="H200" s="1" t="s">
        <v>300</v>
      </c>
      <c r="I200" s="1" t="str">
        <f t="shared" si="89"/>
        <v>S009</v>
      </c>
      <c r="J200" s="4" t="s">
        <v>6</v>
      </c>
      <c r="K200" s="2">
        <f t="shared" si="97"/>
        <v>3</v>
      </c>
      <c r="L200" s="2">
        <f t="shared" si="98"/>
        <v>3</v>
      </c>
      <c r="M200" s="2" cm="1">
        <f t="array" ref="M200">MATCH(TRUE,P200:AD200&lt;&gt;"",0)-1</f>
        <v>3</v>
      </c>
      <c r="N200" s="11">
        <f t="shared" si="123"/>
        <v>25</v>
      </c>
      <c r="O200" s="11" t="str">
        <f t="shared" si="124"/>
        <v>★★★★</v>
      </c>
      <c r="S200" s="1" t="s">
        <v>35</v>
      </c>
      <c r="U200" s="1" t="s">
        <v>301</v>
      </c>
      <c r="Y200" s="1" t="s">
        <v>471</v>
      </c>
    </row>
    <row r="201" spans="1:29">
      <c r="A201" s="17" t="s">
        <v>169</v>
      </c>
      <c r="B201" s="17" t="s">
        <v>600</v>
      </c>
      <c r="C201" s="17" t="s">
        <v>601</v>
      </c>
      <c r="G201" s="18">
        <v>10</v>
      </c>
      <c r="H201" s="1" t="s">
        <v>303</v>
      </c>
      <c r="I201" s="1" t="str">
        <f t="shared" si="89"/>
        <v>S010</v>
      </c>
      <c r="J201" s="3" t="s">
        <v>5</v>
      </c>
      <c r="K201" s="2">
        <f t="shared" si="97"/>
        <v>1</v>
      </c>
      <c r="L201" s="2">
        <f t="shared" si="98"/>
        <v>1</v>
      </c>
      <c r="M201" s="2" cm="1">
        <f t="array" ref="M201">MATCH(TRUE,P201:AD201&lt;&gt;"",0)-1</f>
        <v>5</v>
      </c>
      <c r="N201" s="11">
        <f t="shared" si="123"/>
        <v>8.3333333333333321</v>
      </c>
      <c r="O201" s="11" t="str">
        <f t="shared" si="124"/>
        <v>★★</v>
      </c>
      <c r="U201" s="1" t="s">
        <v>304</v>
      </c>
    </row>
    <row r="202" spans="1:29">
      <c r="A202" s="17" t="s">
        <v>169</v>
      </c>
      <c r="B202" s="17" t="s">
        <v>600</v>
      </c>
      <c r="C202" s="17" t="s">
        <v>601</v>
      </c>
      <c r="G202" s="18">
        <v>11</v>
      </c>
      <c r="H202" s="1" t="s">
        <v>308</v>
      </c>
      <c r="I202" s="1" t="str">
        <f t="shared" si="89"/>
        <v>S011</v>
      </c>
      <c r="J202" s="3" t="s">
        <v>5</v>
      </c>
      <c r="K202" s="2">
        <f t="shared" si="97"/>
        <v>1</v>
      </c>
      <c r="L202" s="2">
        <f t="shared" si="98"/>
        <v>1</v>
      </c>
      <c r="M202" s="2" cm="1">
        <f t="array" ref="M202">MATCH(TRUE,P202:AD202&lt;&gt;"",0)-1</f>
        <v>5</v>
      </c>
      <c r="N202" s="11">
        <f t="shared" si="123"/>
        <v>8.3333333333333321</v>
      </c>
      <c r="O202" s="11" t="str">
        <f t="shared" si="124"/>
        <v>★★</v>
      </c>
      <c r="U202" s="1" t="s">
        <v>257</v>
      </c>
    </row>
    <row r="203" spans="1:29">
      <c r="A203" s="17" t="s">
        <v>169</v>
      </c>
      <c r="B203" s="17" t="s">
        <v>600</v>
      </c>
      <c r="C203" s="17" t="s">
        <v>601</v>
      </c>
      <c r="G203" s="18">
        <v>12</v>
      </c>
      <c r="H203" s="1" t="s">
        <v>385</v>
      </c>
      <c r="I203" s="1" t="str">
        <f t="shared" si="89"/>
        <v>S012</v>
      </c>
      <c r="J203" s="4" t="s">
        <v>6</v>
      </c>
      <c r="K203" s="2">
        <f t="shared" ref="K203:K205" si="131">COUNTA(P203:AS203)</f>
        <v>2</v>
      </c>
      <c r="L203" s="2">
        <f t="shared" ref="L203:L205" si="132">COUNTA(Q203:AT203)</f>
        <v>2</v>
      </c>
      <c r="M203" s="2" cm="1">
        <f t="array" ref="M203">MATCH(TRUE,P203:AD203&lt;&gt;"",0)-1</f>
        <v>7</v>
      </c>
      <c r="N203" s="11">
        <f t="shared" si="123"/>
        <v>8.3333333333333321</v>
      </c>
      <c r="O203" s="11" t="str">
        <f t="shared" si="124"/>
        <v>★★</v>
      </c>
      <c r="W203" s="1" t="s">
        <v>386</v>
      </c>
      <c r="AC203" s="1" t="s">
        <v>572</v>
      </c>
    </row>
    <row r="204" spans="1:29">
      <c r="A204" s="17" t="s">
        <v>169</v>
      </c>
      <c r="B204" s="17" t="s">
        <v>600</v>
      </c>
      <c r="C204" s="17" t="s">
        <v>601</v>
      </c>
      <c r="G204" s="18">
        <v>13</v>
      </c>
      <c r="H204" s="1" t="s">
        <v>421</v>
      </c>
      <c r="I204" s="1" t="str">
        <f t="shared" si="89"/>
        <v>S013</v>
      </c>
      <c r="J204" s="4" t="s">
        <v>6</v>
      </c>
      <c r="K204" s="2">
        <f t="shared" ref="K204" si="133">COUNTA(P204:AS204)</f>
        <v>1</v>
      </c>
      <c r="L204" s="2">
        <f t="shared" ref="L204" si="134">COUNTA(Q204:AT204)</f>
        <v>1</v>
      </c>
      <c r="M204" s="2" cm="1">
        <f t="array" ref="M204">MATCH(TRUE,P204:AD204&lt;&gt;"",0)-1</f>
        <v>8</v>
      </c>
      <c r="N204" s="11">
        <f t="shared" si="123"/>
        <v>8.3333333333333321</v>
      </c>
      <c r="O204" s="11" t="str">
        <f t="shared" si="124"/>
        <v>★★</v>
      </c>
      <c r="X204" s="1" t="s">
        <v>422</v>
      </c>
    </row>
    <row r="205" spans="1:29">
      <c r="A205" s="17" t="s">
        <v>169</v>
      </c>
      <c r="B205" s="17" t="s">
        <v>600</v>
      </c>
      <c r="C205" s="17" t="s">
        <v>601</v>
      </c>
      <c r="G205" s="18">
        <v>14</v>
      </c>
      <c r="H205" s="1" t="s">
        <v>392</v>
      </c>
      <c r="I205" s="1" t="str">
        <f t="shared" si="89"/>
        <v>S014</v>
      </c>
      <c r="J205" s="3" t="s">
        <v>5</v>
      </c>
      <c r="K205" s="2">
        <f t="shared" si="131"/>
        <v>1</v>
      </c>
      <c r="L205" s="2">
        <f t="shared" si="132"/>
        <v>1</v>
      </c>
      <c r="M205" s="2" cm="1">
        <f t="array" ref="M205">MATCH(TRUE,P205:AD205&lt;&gt;"",0)-1</f>
        <v>7</v>
      </c>
      <c r="N205" s="11">
        <f t="shared" si="123"/>
        <v>8.3333333333333321</v>
      </c>
      <c r="O205" s="11" t="str">
        <f t="shared" si="124"/>
        <v>★★</v>
      </c>
      <c r="W205" s="1" t="s">
        <v>393</v>
      </c>
    </row>
    <row r="206" spans="1:29">
      <c r="A206" s="17" t="s">
        <v>169</v>
      </c>
      <c r="B206" s="17" t="s">
        <v>600</v>
      </c>
      <c r="C206" s="17" t="s">
        <v>601</v>
      </c>
      <c r="G206" s="18">
        <v>15</v>
      </c>
      <c r="H206" s="1" t="s">
        <v>586</v>
      </c>
      <c r="I206" s="1" t="str">
        <f t="shared" si="89"/>
        <v>S015</v>
      </c>
      <c r="J206" s="3" t="s">
        <v>5</v>
      </c>
      <c r="K206" s="2">
        <f t="shared" ref="K206" si="135">COUNTA(P206:AS206)</f>
        <v>1</v>
      </c>
      <c r="L206" s="2">
        <f t="shared" ref="L206" si="136">COUNTA(Q206:AT206)</f>
        <v>1</v>
      </c>
      <c r="M206" s="2" cm="1">
        <f t="array" ref="M206">MATCH(TRUE,P206:AD206&lt;&gt;"",0)-1</f>
        <v>13</v>
      </c>
      <c r="N206" s="11">
        <f t="shared" si="123"/>
        <v>0</v>
      </c>
      <c r="O206" s="11" t="str">
        <f t="shared" si="124"/>
        <v>★</v>
      </c>
      <c r="AC206" s="1" t="s">
        <v>573</v>
      </c>
    </row>
    <row r="207" spans="1:29">
      <c r="A207" s="17" t="s">
        <v>169</v>
      </c>
      <c r="B207" s="17" t="s">
        <v>600</v>
      </c>
      <c r="C207" s="1" t="s">
        <v>602</v>
      </c>
      <c r="F207" s="2">
        <f>SUM(K207:K212)</f>
        <v>14</v>
      </c>
      <c r="G207" s="18">
        <v>16</v>
      </c>
      <c r="H207" s="1" t="s">
        <v>72</v>
      </c>
      <c r="I207" s="1" t="str">
        <f t="shared" si="89"/>
        <v>S016</v>
      </c>
      <c r="J207" s="3" t="s">
        <v>5</v>
      </c>
      <c r="K207" s="2">
        <f t="shared" si="97"/>
        <v>2</v>
      </c>
      <c r="L207" s="2">
        <f t="shared" si="98"/>
        <v>2</v>
      </c>
      <c r="M207" s="2" cm="1">
        <f t="array" ref="M207">MATCH(TRUE,P207:AD207&lt;&gt;"",0)-1</f>
        <v>2</v>
      </c>
      <c r="N207" s="11">
        <f t="shared" si="123"/>
        <v>16.666666666666664</v>
      </c>
      <c r="O207" s="11" t="str">
        <f t="shared" si="124"/>
        <v>★★★</v>
      </c>
      <c r="R207" s="1" t="s">
        <v>40</v>
      </c>
      <c r="Y207" s="1" t="s">
        <v>476</v>
      </c>
    </row>
    <row r="208" spans="1:29">
      <c r="A208" s="17" t="s">
        <v>169</v>
      </c>
      <c r="B208" s="17" t="s">
        <v>600</v>
      </c>
      <c r="C208" s="17" t="s">
        <v>602</v>
      </c>
      <c r="G208" s="18">
        <v>17</v>
      </c>
      <c r="H208" s="1" t="s">
        <v>202</v>
      </c>
      <c r="I208" s="1" t="str">
        <f t="shared" si="89"/>
        <v>S017</v>
      </c>
      <c r="J208" s="4" t="s">
        <v>6</v>
      </c>
      <c r="K208" s="2">
        <f t="shared" si="97"/>
        <v>1</v>
      </c>
      <c r="L208" s="2">
        <f t="shared" si="98"/>
        <v>1</v>
      </c>
      <c r="M208" s="2" cm="1">
        <f t="array" ref="M208">MATCH(TRUE,P208:AD208&lt;&gt;"",0)-1</f>
        <v>3</v>
      </c>
      <c r="N208" s="11">
        <f t="shared" si="123"/>
        <v>8.3333333333333321</v>
      </c>
      <c r="O208" s="11" t="str">
        <f t="shared" si="124"/>
        <v>★★</v>
      </c>
      <c r="S208" s="1" t="s">
        <v>40</v>
      </c>
    </row>
    <row r="209" spans="1:30">
      <c r="A209" s="17" t="s">
        <v>169</v>
      </c>
      <c r="B209" s="17" t="s">
        <v>600</v>
      </c>
      <c r="C209" s="17" t="s">
        <v>602</v>
      </c>
      <c r="G209" s="18">
        <v>18</v>
      </c>
      <c r="H209" s="1" t="s">
        <v>203</v>
      </c>
      <c r="I209" s="1" t="str">
        <f t="shared" ref="I209:I215" si="137">B209&amp;TEXT(G209,"000")</f>
        <v>S018</v>
      </c>
      <c r="J209" s="3" t="s">
        <v>5</v>
      </c>
      <c r="K209" s="2">
        <f t="shared" si="97"/>
        <v>4</v>
      </c>
      <c r="L209" s="2">
        <f t="shared" si="98"/>
        <v>4</v>
      </c>
      <c r="M209" s="2" cm="1">
        <f t="array" ref="M209">MATCH(TRUE,P209:AD209&lt;&gt;"",0)-1</f>
        <v>3</v>
      </c>
      <c r="N209" s="11">
        <f t="shared" si="123"/>
        <v>33.333333333333329</v>
      </c>
      <c r="O209" s="11" t="str">
        <f t="shared" si="124"/>
        <v>★★★★★</v>
      </c>
      <c r="S209" s="1" t="s">
        <v>42</v>
      </c>
      <c r="T209" s="1" t="s">
        <v>250</v>
      </c>
      <c r="X209" s="1" t="s">
        <v>418</v>
      </c>
      <c r="AA209" s="1" t="s">
        <v>522</v>
      </c>
    </row>
    <row r="210" spans="1:30">
      <c r="A210" s="17" t="s">
        <v>169</v>
      </c>
      <c r="B210" s="17" t="s">
        <v>600</v>
      </c>
      <c r="C210" s="17" t="s">
        <v>602</v>
      </c>
      <c r="G210" s="18">
        <v>19</v>
      </c>
      <c r="H210" s="1" t="s">
        <v>82</v>
      </c>
      <c r="I210" s="1" t="str">
        <f t="shared" si="137"/>
        <v>S019</v>
      </c>
      <c r="J210" s="3" t="s">
        <v>5</v>
      </c>
      <c r="K210" s="2">
        <f t="shared" si="97"/>
        <v>3</v>
      </c>
      <c r="L210" s="2">
        <f t="shared" si="98"/>
        <v>3</v>
      </c>
      <c r="M210" s="2" cm="1">
        <f t="array" ref="M210">MATCH(TRUE,P210:AD210&lt;&gt;"",0)-1</f>
        <v>3</v>
      </c>
      <c r="N210" s="11">
        <f t="shared" si="123"/>
        <v>25</v>
      </c>
      <c r="O210" s="11" t="str">
        <f t="shared" si="124"/>
        <v>★★★★</v>
      </c>
      <c r="S210" s="1" t="s">
        <v>47</v>
      </c>
      <c r="V210" s="1" t="s">
        <v>345</v>
      </c>
      <c r="Z210" s="1" t="s">
        <v>530</v>
      </c>
    </row>
    <row r="211" spans="1:30">
      <c r="A211" s="17" t="s">
        <v>169</v>
      </c>
      <c r="B211" s="17" t="s">
        <v>600</v>
      </c>
      <c r="C211" s="17" t="s">
        <v>602</v>
      </c>
      <c r="G211" s="18">
        <v>20</v>
      </c>
      <c r="H211" s="1" t="s">
        <v>162</v>
      </c>
      <c r="I211" s="1" t="str">
        <f t="shared" si="137"/>
        <v>S020</v>
      </c>
      <c r="J211" s="4" t="s">
        <v>6</v>
      </c>
      <c r="K211" s="2">
        <f t="shared" si="97"/>
        <v>3</v>
      </c>
      <c r="L211" s="2">
        <f t="shared" si="98"/>
        <v>2</v>
      </c>
      <c r="M211" s="2" cm="1">
        <f t="array" ref="M211">MATCH(TRUE,P211:AD211&lt;&gt;"",0)-1</f>
        <v>0</v>
      </c>
      <c r="N211" s="11">
        <f t="shared" si="123"/>
        <v>16.666666666666664</v>
      </c>
      <c r="O211" s="11" t="str">
        <f t="shared" si="124"/>
        <v>★★★</v>
      </c>
      <c r="P211" s="1" t="s">
        <v>163</v>
      </c>
      <c r="T211" s="1" t="s">
        <v>249</v>
      </c>
      <c r="AA211" s="1" t="s">
        <v>519</v>
      </c>
    </row>
    <row r="212" spans="1:30">
      <c r="A212" s="17" t="s">
        <v>169</v>
      </c>
      <c r="B212" s="17" t="s">
        <v>600</v>
      </c>
      <c r="C212" s="17" t="s">
        <v>602</v>
      </c>
      <c r="G212" s="18">
        <v>21</v>
      </c>
      <c r="H212" s="1" t="s">
        <v>343</v>
      </c>
      <c r="I212" s="1" t="str">
        <f t="shared" si="137"/>
        <v>S021</v>
      </c>
      <c r="J212" s="3" t="s">
        <v>5</v>
      </c>
      <c r="K212" s="2">
        <f t="shared" ref="K212" si="138">COUNTA(P212:AS212)</f>
        <v>1</v>
      </c>
      <c r="L212" s="2">
        <f t="shared" ref="L212" si="139">COUNTA(Q212:AT212)</f>
        <v>1</v>
      </c>
      <c r="M212" s="2" cm="1">
        <f t="array" ref="M212">MATCH(TRUE,P212:AD212&lt;&gt;"",0)-1</f>
        <v>6</v>
      </c>
      <c r="N212" s="11">
        <f t="shared" si="123"/>
        <v>8.3333333333333321</v>
      </c>
      <c r="O212" s="11" t="str">
        <f t="shared" si="124"/>
        <v>★★</v>
      </c>
      <c r="V212" s="1" t="s">
        <v>344</v>
      </c>
    </row>
    <row r="213" spans="1:30">
      <c r="A213" s="17" t="s">
        <v>169</v>
      </c>
      <c r="B213" s="17" t="s">
        <v>600</v>
      </c>
      <c r="C213" s="1" t="s">
        <v>603</v>
      </c>
      <c r="F213" s="2">
        <f>SUM(K213:K215)</f>
        <v>5</v>
      </c>
      <c r="G213" s="18">
        <v>22</v>
      </c>
      <c r="H213" s="1" t="s">
        <v>106</v>
      </c>
      <c r="I213" s="1" t="str">
        <f t="shared" si="137"/>
        <v>S022</v>
      </c>
      <c r="J213" s="3" t="s">
        <v>5</v>
      </c>
      <c r="K213" s="2">
        <f t="shared" si="97"/>
        <v>1</v>
      </c>
      <c r="L213" s="2">
        <f t="shared" si="98"/>
        <v>1</v>
      </c>
      <c r="M213" s="2" cm="1">
        <f t="array" ref="M213">MATCH(TRUE,P213:AD213&lt;&gt;"",0)-1</f>
        <v>1</v>
      </c>
      <c r="N213" s="11">
        <f t="shared" si="123"/>
        <v>8.3333333333333321</v>
      </c>
      <c r="O213" s="11" t="str">
        <f t="shared" si="124"/>
        <v>★★</v>
      </c>
      <c r="Q213" s="1" t="s">
        <v>40</v>
      </c>
    </row>
    <row r="214" spans="1:30">
      <c r="A214" s="17" t="s">
        <v>169</v>
      </c>
      <c r="B214" s="17" t="s">
        <v>600</v>
      </c>
      <c r="C214" s="17" t="s">
        <v>603</v>
      </c>
      <c r="G214" s="18">
        <v>23</v>
      </c>
      <c r="H214" s="1" t="s">
        <v>104</v>
      </c>
      <c r="I214" s="1" t="str">
        <f t="shared" si="137"/>
        <v>S023</v>
      </c>
      <c r="J214" s="3" t="s">
        <v>5</v>
      </c>
      <c r="K214" s="2">
        <f t="shared" ref="K214" si="140">COUNTA(P214:AS214)</f>
        <v>3</v>
      </c>
      <c r="L214" s="2">
        <f t="shared" ref="L214" si="141">COUNTA(Q214:AT214)</f>
        <v>3</v>
      </c>
      <c r="M214" s="2" cm="1">
        <f t="array" ref="M214">MATCH(TRUE,P214:AD214&lt;&gt;"",0)-1</f>
        <v>1</v>
      </c>
      <c r="N214" s="11">
        <f t="shared" si="123"/>
        <v>25</v>
      </c>
      <c r="O214" s="11" t="str">
        <f t="shared" si="124"/>
        <v>★★★★</v>
      </c>
      <c r="Q214" s="1" t="s">
        <v>47</v>
      </c>
      <c r="Z214" s="1" t="s">
        <v>497</v>
      </c>
      <c r="AB214" s="1" t="s">
        <v>580</v>
      </c>
    </row>
    <row r="215" spans="1:30">
      <c r="A215" s="17" t="s">
        <v>169</v>
      </c>
      <c r="B215" s="17" t="s">
        <v>600</v>
      </c>
      <c r="C215" s="17" t="s">
        <v>603</v>
      </c>
      <c r="G215" s="18">
        <v>24</v>
      </c>
      <c r="H215" s="1" t="s">
        <v>517</v>
      </c>
      <c r="I215" s="1" t="str">
        <f t="shared" si="137"/>
        <v>S024</v>
      </c>
      <c r="J215" s="3" t="s">
        <v>5</v>
      </c>
      <c r="K215" s="2">
        <f t="shared" si="97"/>
        <v>1</v>
      </c>
      <c r="L215" s="2">
        <f t="shared" si="98"/>
        <v>1</v>
      </c>
      <c r="M215" s="2" cm="1">
        <f t="array" ref="M215">MATCH(TRUE,P215:AD215&lt;&gt;"",0)-1</f>
        <v>10</v>
      </c>
      <c r="N215" s="11">
        <f t="shared" si="123"/>
        <v>8.3333333333333321</v>
      </c>
      <c r="O215" s="11" t="str">
        <f t="shared" si="124"/>
        <v>★★</v>
      </c>
      <c r="Z215" s="1" t="s">
        <v>518</v>
      </c>
    </row>
    <row r="216" spans="1:30">
      <c r="A216" s="13"/>
      <c r="B216" s="13"/>
      <c r="C216" s="13"/>
      <c r="D216" s="13"/>
      <c r="E216" s="13"/>
      <c r="F216" s="14"/>
      <c r="G216" s="14"/>
      <c r="H216" s="13"/>
      <c r="I216" s="13"/>
      <c r="J216" s="14"/>
      <c r="K216" s="14"/>
      <c r="L216" s="14"/>
      <c r="M216" s="14"/>
      <c r="N216" s="14"/>
      <c r="O216" s="14"/>
      <c r="P216" s="13"/>
      <c r="Q216" s="13"/>
      <c r="R216" s="13"/>
      <c r="S216" s="13"/>
      <c r="T216" s="13"/>
      <c r="U216" s="13"/>
      <c r="V216" s="13"/>
      <c r="W216" s="13"/>
      <c r="X216" s="13"/>
      <c r="Y216" s="13"/>
      <c r="Z216" s="13"/>
      <c r="AA216" s="13"/>
      <c r="AB216" s="13"/>
      <c r="AC216" s="13"/>
      <c r="AD216" s="13"/>
    </row>
    <row r="218" spans="1:30">
      <c r="N218" s="2" t="s">
        <v>596</v>
      </c>
    </row>
    <row r="219" spans="1:30" hidden="1">
      <c r="L219" s="12" t="s">
        <v>591</v>
      </c>
      <c r="M219" s="2">
        <f>COUNTIF(O$219:O$435,"★")</f>
        <v>12</v>
      </c>
      <c r="N219" s="15">
        <f>M219/M$224*100+N220</f>
        <v>100</v>
      </c>
      <c r="O219" s="2" t="s">
        <v>590</v>
      </c>
    </row>
    <row r="220" spans="1:30" hidden="1">
      <c r="L220" s="12" t="s">
        <v>589</v>
      </c>
      <c r="M220" s="2">
        <f>COUNTIF(O$219:O$435,"★★")</f>
        <v>100</v>
      </c>
      <c r="N220" s="15">
        <f>M220/M$224*100+N221</f>
        <v>94.444444444444443</v>
      </c>
      <c r="O220" s="2" t="s">
        <v>592</v>
      </c>
    </row>
    <row r="221" spans="1:30" hidden="1">
      <c r="L221" s="12" t="s">
        <v>590</v>
      </c>
      <c r="M221" s="2">
        <f>COUNTIF(O$219:O$435,"★★★")</f>
        <v>69</v>
      </c>
      <c r="N221" s="15">
        <f>M221/M$224*100+N222</f>
        <v>48.148148148148145</v>
      </c>
      <c r="O221" s="2" t="s">
        <v>589</v>
      </c>
    </row>
    <row r="222" spans="1:30" hidden="1">
      <c r="L222" s="12" t="s">
        <v>594</v>
      </c>
      <c r="M222" s="2">
        <f>COUNTIF(O$219:O$435,"★★★★")</f>
        <v>27</v>
      </c>
      <c r="N222" s="15">
        <f>M222/M$224*100+N223</f>
        <v>16.203703703703702</v>
      </c>
      <c r="O222" s="2" t="s">
        <v>591</v>
      </c>
    </row>
    <row r="223" spans="1:30" hidden="1">
      <c r="L223" s="12" t="s">
        <v>595</v>
      </c>
      <c r="M223" s="2">
        <f>COUNTIF(O$219:O$435,"★★★★★")</f>
        <v>8</v>
      </c>
      <c r="N223" s="15">
        <f>M223/M$224*100</f>
        <v>3.7037037037037033</v>
      </c>
      <c r="O223" s="2" t="s">
        <v>589</v>
      </c>
    </row>
    <row r="224" spans="1:30" hidden="1">
      <c r="M224" s="2">
        <f>SUM(M219:M223)</f>
        <v>216</v>
      </c>
      <c r="O224" s="2" t="s">
        <v>589</v>
      </c>
    </row>
    <row r="225" spans="15:15" hidden="1">
      <c r="O225" s="2" t="s">
        <v>590</v>
      </c>
    </row>
    <row r="226" spans="15:15" hidden="1">
      <c r="O226" s="2" t="s">
        <v>589</v>
      </c>
    </row>
    <row r="227" spans="15:15" hidden="1">
      <c r="O227" s="2" t="s">
        <v>592</v>
      </c>
    </row>
    <row r="228" spans="15:15" hidden="1">
      <c r="O228" s="2" t="s">
        <v>589</v>
      </c>
    </row>
    <row r="229" spans="15:15" hidden="1">
      <c r="O229" s="2" t="s">
        <v>590</v>
      </c>
    </row>
    <row r="230" spans="15:15" hidden="1">
      <c r="O230" s="2" t="s">
        <v>589</v>
      </c>
    </row>
    <row r="231" spans="15:15" hidden="1">
      <c r="O231" s="2" t="s">
        <v>589</v>
      </c>
    </row>
    <row r="232" spans="15:15" hidden="1">
      <c r="O232" s="2" t="s">
        <v>592</v>
      </c>
    </row>
    <row r="233" spans="15:15" hidden="1">
      <c r="O233" s="2" t="s">
        <v>589</v>
      </c>
    </row>
    <row r="234" spans="15:15" hidden="1">
      <c r="O234" s="2" t="s">
        <v>589</v>
      </c>
    </row>
    <row r="235" spans="15:15" hidden="1">
      <c r="O235" s="2" t="s">
        <v>592</v>
      </c>
    </row>
    <row r="236" spans="15:15" hidden="1">
      <c r="O236" s="2" t="s">
        <v>590</v>
      </c>
    </row>
    <row r="237" spans="15:15" hidden="1">
      <c r="O237" s="2" t="s">
        <v>591</v>
      </c>
    </row>
    <row r="238" spans="15:15" hidden="1">
      <c r="O238" s="2" t="s">
        <v>589</v>
      </c>
    </row>
    <row r="239" spans="15:15" hidden="1">
      <c r="O239" s="2" t="s">
        <v>589</v>
      </c>
    </row>
    <row r="240" spans="15:15" hidden="1">
      <c r="O240" s="2" t="s">
        <v>593</v>
      </c>
    </row>
    <row r="241" spans="15:15" hidden="1">
      <c r="O241" s="2" t="s">
        <v>592</v>
      </c>
    </row>
    <row r="242" spans="15:15" hidden="1">
      <c r="O242" s="2" t="s">
        <v>590</v>
      </c>
    </row>
    <row r="243" spans="15:15" hidden="1">
      <c r="O243" s="2" t="s">
        <v>589</v>
      </c>
    </row>
    <row r="244" spans="15:15" hidden="1">
      <c r="O244" s="2" t="s">
        <v>590</v>
      </c>
    </row>
    <row r="245" spans="15:15" hidden="1">
      <c r="O245" s="2" t="s">
        <v>589</v>
      </c>
    </row>
    <row r="246" spans="15:15" hidden="1">
      <c r="O246" s="2" t="s">
        <v>592</v>
      </c>
    </row>
    <row r="247" spans="15:15" hidden="1">
      <c r="O247" s="2" t="s">
        <v>589</v>
      </c>
    </row>
    <row r="248" spans="15:15" hidden="1">
      <c r="O248" s="2" t="s">
        <v>590</v>
      </c>
    </row>
    <row r="249" spans="15:15" hidden="1">
      <c r="O249" s="2" t="s">
        <v>590</v>
      </c>
    </row>
    <row r="250" spans="15:15" hidden="1">
      <c r="O250" s="2" t="s">
        <v>589</v>
      </c>
    </row>
    <row r="251" spans="15:15" hidden="1">
      <c r="O251" s="2" t="s">
        <v>589</v>
      </c>
    </row>
    <row r="252" spans="15:15" hidden="1">
      <c r="O252" s="2" t="s">
        <v>591</v>
      </c>
    </row>
    <row r="253" spans="15:15" hidden="1">
      <c r="O253" s="2" t="s">
        <v>590</v>
      </c>
    </row>
    <row r="254" spans="15:15" hidden="1">
      <c r="O254" s="2" t="s">
        <v>590</v>
      </c>
    </row>
    <row r="255" spans="15:15" hidden="1">
      <c r="O255" s="2" t="s">
        <v>589</v>
      </c>
    </row>
    <row r="256" spans="15:15" hidden="1">
      <c r="O256" s="2" t="s">
        <v>592</v>
      </c>
    </row>
    <row r="257" spans="15:15" hidden="1">
      <c r="O257" s="2" t="s">
        <v>590</v>
      </c>
    </row>
    <row r="258" spans="15:15" hidden="1">
      <c r="O258" s="2" t="s">
        <v>592</v>
      </c>
    </row>
    <row r="259" spans="15:15" hidden="1">
      <c r="O259" s="2" t="s">
        <v>589</v>
      </c>
    </row>
    <row r="260" spans="15:15" hidden="1">
      <c r="O260" s="2" t="s">
        <v>590</v>
      </c>
    </row>
    <row r="261" spans="15:15" hidden="1">
      <c r="O261" s="2" t="s">
        <v>590</v>
      </c>
    </row>
    <row r="262" spans="15:15" hidden="1">
      <c r="O262" s="2" t="s">
        <v>590</v>
      </c>
    </row>
    <row r="263" spans="15:15" hidden="1">
      <c r="O263" s="2" t="s">
        <v>593</v>
      </c>
    </row>
    <row r="264" spans="15:15" hidden="1">
      <c r="O264" s="2" t="s">
        <v>590</v>
      </c>
    </row>
    <row r="265" spans="15:15" hidden="1">
      <c r="O265" s="2" t="s">
        <v>590</v>
      </c>
    </row>
    <row r="266" spans="15:15" hidden="1">
      <c r="O266" s="2" t="s">
        <v>591</v>
      </c>
    </row>
    <row r="267" spans="15:15" hidden="1">
      <c r="O267" s="2" t="s">
        <v>590</v>
      </c>
    </row>
    <row r="268" spans="15:15" hidden="1">
      <c r="O268" s="2" t="s">
        <v>590</v>
      </c>
    </row>
    <row r="269" spans="15:15" hidden="1">
      <c r="O269" s="2" t="s">
        <v>590</v>
      </c>
    </row>
    <row r="270" spans="15:15" hidden="1">
      <c r="O270" s="2" t="s">
        <v>589</v>
      </c>
    </row>
    <row r="271" spans="15:15" hidden="1">
      <c r="O271" s="2" t="s">
        <v>590</v>
      </c>
    </row>
    <row r="272" spans="15:15" hidden="1">
      <c r="O272" s="2" t="s">
        <v>589</v>
      </c>
    </row>
    <row r="273" spans="15:15" hidden="1">
      <c r="O273" s="2" t="s">
        <v>589</v>
      </c>
    </row>
    <row r="274" spans="15:15" hidden="1">
      <c r="O274" s="2" t="s">
        <v>592</v>
      </c>
    </row>
    <row r="275" spans="15:15" hidden="1">
      <c r="O275" s="2" t="s">
        <v>589</v>
      </c>
    </row>
    <row r="276" spans="15:15" hidden="1">
      <c r="O276" s="2" t="s">
        <v>589</v>
      </c>
    </row>
    <row r="277" spans="15:15" hidden="1">
      <c r="O277" s="2" t="s">
        <v>589</v>
      </c>
    </row>
    <row r="278" spans="15:15" hidden="1">
      <c r="O278" s="2" t="s">
        <v>589</v>
      </c>
    </row>
    <row r="279" spans="15:15" hidden="1">
      <c r="O279" s="2" t="s">
        <v>590</v>
      </c>
    </row>
    <row r="280" spans="15:15" hidden="1">
      <c r="O280" s="2" t="s">
        <v>590</v>
      </c>
    </row>
    <row r="281" spans="15:15" hidden="1">
      <c r="O281" s="2" t="s">
        <v>589</v>
      </c>
    </row>
    <row r="282" spans="15:15" hidden="1">
      <c r="O282" s="2" t="s">
        <v>589</v>
      </c>
    </row>
    <row r="283" spans="15:15" hidden="1">
      <c r="O283" s="2" t="s">
        <v>589</v>
      </c>
    </row>
    <row r="284" spans="15:15" hidden="1">
      <c r="O284" s="2" t="s">
        <v>589</v>
      </c>
    </row>
    <row r="285" spans="15:15" hidden="1">
      <c r="O285" s="2" t="s">
        <v>590</v>
      </c>
    </row>
    <row r="286" spans="15:15" hidden="1">
      <c r="O286" s="2" t="s">
        <v>593</v>
      </c>
    </row>
    <row r="287" spans="15:15" hidden="1">
      <c r="O287" s="2" t="s">
        <v>592</v>
      </c>
    </row>
    <row r="288" spans="15:15" hidden="1">
      <c r="O288" s="2" t="s">
        <v>589</v>
      </c>
    </row>
    <row r="289" spans="15:15" hidden="1">
      <c r="O289" s="2" t="s">
        <v>591</v>
      </c>
    </row>
    <row r="290" spans="15:15" hidden="1">
      <c r="O290" s="2" t="s">
        <v>589</v>
      </c>
    </row>
    <row r="291" spans="15:15" hidden="1">
      <c r="O291" s="2" t="s">
        <v>589</v>
      </c>
    </row>
    <row r="292" spans="15:15" hidden="1">
      <c r="O292" s="2" t="s">
        <v>592</v>
      </c>
    </row>
    <row r="293" spans="15:15" hidden="1">
      <c r="O293" s="2" t="s">
        <v>592</v>
      </c>
    </row>
    <row r="294" spans="15:15" hidden="1">
      <c r="O294" s="2" t="s">
        <v>589</v>
      </c>
    </row>
    <row r="295" spans="15:15" hidden="1">
      <c r="O295" s="2" t="s">
        <v>589</v>
      </c>
    </row>
    <row r="296" spans="15:15" hidden="1">
      <c r="O296" s="2" t="s">
        <v>589</v>
      </c>
    </row>
    <row r="297" spans="15:15" hidden="1">
      <c r="O297" s="2" t="s">
        <v>589</v>
      </c>
    </row>
    <row r="298" spans="15:15" hidden="1">
      <c r="O298" s="2" t="s">
        <v>589</v>
      </c>
    </row>
    <row r="299" spans="15:15" hidden="1">
      <c r="O299" s="2" t="s">
        <v>593</v>
      </c>
    </row>
    <row r="300" spans="15:15" hidden="1">
      <c r="O300" s="2" t="s">
        <v>590</v>
      </c>
    </row>
    <row r="301" spans="15:15" hidden="1">
      <c r="O301" s="2" t="s">
        <v>589</v>
      </c>
    </row>
    <row r="302" spans="15:15" hidden="1">
      <c r="O302" s="2" t="s">
        <v>589</v>
      </c>
    </row>
    <row r="303" spans="15:15" hidden="1">
      <c r="O303" s="2" t="s">
        <v>590</v>
      </c>
    </row>
    <row r="304" spans="15:15" hidden="1">
      <c r="O304" s="2" t="s">
        <v>589</v>
      </c>
    </row>
    <row r="305" spans="15:15" hidden="1">
      <c r="O305" s="2" t="s">
        <v>590</v>
      </c>
    </row>
    <row r="306" spans="15:15" hidden="1">
      <c r="O306" s="2" t="s">
        <v>589</v>
      </c>
    </row>
    <row r="307" spans="15:15" hidden="1">
      <c r="O307" s="2" t="s">
        <v>590</v>
      </c>
    </row>
    <row r="308" spans="15:15" hidden="1">
      <c r="O308" s="2" t="s">
        <v>590</v>
      </c>
    </row>
    <row r="309" spans="15:15" hidden="1">
      <c r="O309" s="2" t="s">
        <v>589</v>
      </c>
    </row>
    <row r="310" spans="15:15" hidden="1">
      <c r="O310" s="2" t="s">
        <v>589</v>
      </c>
    </row>
    <row r="311" spans="15:15" hidden="1">
      <c r="O311" s="2" t="s">
        <v>589</v>
      </c>
    </row>
    <row r="312" spans="15:15" hidden="1">
      <c r="O312" s="2" t="s">
        <v>592</v>
      </c>
    </row>
    <row r="313" spans="15:15" hidden="1">
      <c r="O313" s="2" t="s">
        <v>589</v>
      </c>
    </row>
    <row r="314" spans="15:15" hidden="1">
      <c r="O314" s="2" t="s">
        <v>589</v>
      </c>
    </row>
    <row r="315" spans="15:15" hidden="1">
      <c r="O315" s="2" t="s">
        <v>591</v>
      </c>
    </row>
    <row r="316" spans="15:15" hidden="1">
      <c r="O316" s="2" t="s">
        <v>590</v>
      </c>
    </row>
    <row r="317" spans="15:15" hidden="1">
      <c r="O317" s="2" t="s">
        <v>589</v>
      </c>
    </row>
    <row r="318" spans="15:15" hidden="1">
      <c r="O318" s="2" t="s">
        <v>590</v>
      </c>
    </row>
    <row r="319" spans="15:15" hidden="1">
      <c r="O319" s="2" t="s">
        <v>589</v>
      </c>
    </row>
    <row r="320" spans="15:15" hidden="1">
      <c r="O320" s="2" t="s">
        <v>590</v>
      </c>
    </row>
    <row r="321" spans="15:15" hidden="1">
      <c r="O321" s="2" t="s">
        <v>590</v>
      </c>
    </row>
    <row r="322" spans="15:15" hidden="1">
      <c r="O322" s="2" t="s">
        <v>589</v>
      </c>
    </row>
    <row r="323" spans="15:15" hidden="1">
      <c r="O323" s="2" t="s">
        <v>589</v>
      </c>
    </row>
    <row r="324" spans="15:15" hidden="1">
      <c r="O324" s="2" t="s">
        <v>590</v>
      </c>
    </row>
    <row r="325" spans="15:15" hidden="1">
      <c r="O325" s="2" t="s">
        <v>592</v>
      </c>
    </row>
    <row r="326" spans="15:15" hidden="1">
      <c r="O326" s="2" t="s">
        <v>589</v>
      </c>
    </row>
    <row r="327" spans="15:15" hidden="1">
      <c r="O327" s="2" t="s">
        <v>589</v>
      </c>
    </row>
    <row r="328" spans="15:15" hidden="1">
      <c r="O328" s="2" t="s">
        <v>589</v>
      </c>
    </row>
    <row r="329" spans="15:15" hidden="1">
      <c r="O329" s="2" t="s">
        <v>590</v>
      </c>
    </row>
    <row r="330" spans="15:15" hidden="1">
      <c r="O330" s="2" t="s">
        <v>592</v>
      </c>
    </row>
    <row r="331" spans="15:15" hidden="1">
      <c r="O331" s="2" t="s">
        <v>590</v>
      </c>
    </row>
    <row r="332" spans="15:15" hidden="1">
      <c r="O332" s="2" t="s">
        <v>590</v>
      </c>
    </row>
    <row r="333" spans="15:15" hidden="1">
      <c r="O333" s="2" t="s">
        <v>590</v>
      </c>
    </row>
    <row r="334" spans="15:15" hidden="1">
      <c r="O334" s="2" t="s">
        <v>589</v>
      </c>
    </row>
    <row r="335" spans="15:15" hidden="1">
      <c r="O335" s="2" t="s">
        <v>590</v>
      </c>
    </row>
    <row r="336" spans="15:15" hidden="1">
      <c r="O336" s="2" t="s">
        <v>592</v>
      </c>
    </row>
    <row r="337" spans="15:15" hidden="1">
      <c r="O337" s="2" t="s">
        <v>589</v>
      </c>
    </row>
    <row r="338" spans="15:15" hidden="1">
      <c r="O338" s="2" t="s">
        <v>589</v>
      </c>
    </row>
    <row r="339" spans="15:15" hidden="1">
      <c r="O339" s="2" t="s">
        <v>589</v>
      </c>
    </row>
    <row r="340" spans="15:15" hidden="1">
      <c r="O340" s="2" t="s">
        <v>590</v>
      </c>
    </row>
    <row r="341" spans="15:15" hidden="1">
      <c r="O341" s="2" t="s">
        <v>590</v>
      </c>
    </row>
    <row r="342" spans="15:15" hidden="1">
      <c r="O342" s="2" t="s">
        <v>590</v>
      </c>
    </row>
    <row r="343" spans="15:15" hidden="1">
      <c r="O343" s="2" t="s">
        <v>590</v>
      </c>
    </row>
    <row r="344" spans="15:15" hidden="1">
      <c r="O344" s="2" t="s">
        <v>590</v>
      </c>
    </row>
    <row r="345" spans="15:15" hidden="1">
      <c r="O345" s="2" t="s">
        <v>590</v>
      </c>
    </row>
    <row r="346" spans="15:15" hidden="1">
      <c r="O346" s="2" t="s">
        <v>590</v>
      </c>
    </row>
    <row r="347" spans="15:15" hidden="1">
      <c r="O347" s="2" t="s">
        <v>589</v>
      </c>
    </row>
    <row r="348" spans="15:15" hidden="1">
      <c r="O348" s="2" t="s">
        <v>589</v>
      </c>
    </row>
    <row r="349" spans="15:15" hidden="1">
      <c r="O349" s="2" t="s">
        <v>589</v>
      </c>
    </row>
    <row r="350" spans="15:15" hidden="1">
      <c r="O350" s="2" t="s">
        <v>589</v>
      </c>
    </row>
    <row r="351" spans="15:15" hidden="1">
      <c r="O351" s="2" t="s">
        <v>592</v>
      </c>
    </row>
    <row r="352" spans="15:15" hidden="1">
      <c r="O352" s="2" t="s">
        <v>589</v>
      </c>
    </row>
    <row r="353" spans="15:15" hidden="1">
      <c r="O353" s="2" t="s">
        <v>589</v>
      </c>
    </row>
    <row r="354" spans="15:15" hidden="1">
      <c r="O354" s="2" t="s">
        <v>590</v>
      </c>
    </row>
    <row r="355" spans="15:15" hidden="1">
      <c r="O355" s="2" t="s">
        <v>590</v>
      </c>
    </row>
    <row r="356" spans="15:15" hidden="1">
      <c r="O356" s="2" t="s">
        <v>590</v>
      </c>
    </row>
    <row r="357" spans="15:15" hidden="1">
      <c r="O357" s="2" t="s">
        <v>589</v>
      </c>
    </row>
    <row r="358" spans="15:15" hidden="1">
      <c r="O358" s="2" t="s">
        <v>590</v>
      </c>
    </row>
    <row r="359" spans="15:15" hidden="1">
      <c r="O359" s="2" t="s">
        <v>589</v>
      </c>
    </row>
    <row r="360" spans="15:15" hidden="1">
      <c r="O360" s="2" t="s">
        <v>589</v>
      </c>
    </row>
    <row r="361" spans="15:15" hidden="1">
      <c r="O361" s="2" t="s">
        <v>592</v>
      </c>
    </row>
    <row r="362" spans="15:15" hidden="1">
      <c r="O362" s="2" t="s">
        <v>590</v>
      </c>
    </row>
    <row r="363" spans="15:15" hidden="1">
      <c r="O363" s="2" t="s">
        <v>589</v>
      </c>
    </row>
    <row r="364" spans="15:15" hidden="1">
      <c r="O364" s="2" t="s">
        <v>590</v>
      </c>
    </row>
    <row r="365" spans="15:15" hidden="1">
      <c r="O365" s="2" t="s">
        <v>590</v>
      </c>
    </row>
    <row r="366" spans="15:15" hidden="1">
      <c r="O366" s="2" t="s">
        <v>589</v>
      </c>
    </row>
    <row r="367" spans="15:15" hidden="1">
      <c r="O367" s="2" t="s">
        <v>592</v>
      </c>
    </row>
    <row r="368" spans="15:15" hidden="1">
      <c r="O368" s="2" t="s">
        <v>592</v>
      </c>
    </row>
    <row r="369" spans="15:15" hidden="1">
      <c r="O369" s="2" t="s">
        <v>590</v>
      </c>
    </row>
    <row r="370" spans="15:15" hidden="1">
      <c r="O370" s="2" t="s">
        <v>590</v>
      </c>
    </row>
    <row r="371" spans="15:15" hidden="1">
      <c r="O371" s="2" t="s">
        <v>591</v>
      </c>
    </row>
    <row r="372" spans="15:15" hidden="1">
      <c r="O372" s="2" t="s">
        <v>589</v>
      </c>
    </row>
    <row r="373" spans="15:15" hidden="1">
      <c r="O373" s="2" t="s">
        <v>589</v>
      </c>
    </row>
    <row r="374" spans="15:15" hidden="1">
      <c r="O374" s="2" t="s">
        <v>590</v>
      </c>
    </row>
    <row r="375" spans="15:15" hidden="1">
      <c r="O375" s="2" t="s">
        <v>589</v>
      </c>
    </row>
    <row r="376" spans="15:15" hidden="1">
      <c r="O376" s="2" t="s">
        <v>591</v>
      </c>
    </row>
    <row r="377" spans="15:15" hidden="1">
      <c r="O377" s="2" t="s">
        <v>590</v>
      </c>
    </row>
    <row r="378" spans="15:15" hidden="1">
      <c r="O378" s="2" t="s">
        <v>589</v>
      </c>
    </row>
    <row r="379" spans="15:15" hidden="1">
      <c r="O379" s="2" t="s">
        <v>589</v>
      </c>
    </row>
    <row r="380" spans="15:15" hidden="1">
      <c r="O380" s="2" t="s">
        <v>589</v>
      </c>
    </row>
    <row r="381" spans="15:15" hidden="1">
      <c r="O381" s="2" t="s">
        <v>589</v>
      </c>
    </row>
    <row r="382" spans="15:15" hidden="1">
      <c r="O382" s="2" t="s">
        <v>589</v>
      </c>
    </row>
    <row r="383" spans="15:15" hidden="1">
      <c r="O383" s="2" t="s">
        <v>589</v>
      </c>
    </row>
    <row r="384" spans="15:15" hidden="1">
      <c r="O384" s="2" t="s">
        <v>589</v>
      </c>
    </row>
    <row r="385" spans="15:15" hidden="1">
      <c r="O385" s="2" t="s">
        <v>590</v>
      </c>
    </row>
    <row r="386" spans="15:15" hidden="1">
      <c r="O386" s="2" t="s">
        <v>593</v>
      </c>
    </row>
    <row r="387" spans="15:15" hidden="1">
      <c r="O387" s="2" t="s">
        <v>589</v>
      </c>
    </row>
    <row r="388" spans="15:15" hidden="1">
      <c r="O388" s="2" t="s">
        <v>590</v>
      </c>
    </row>
    <row r="389" spans="15:15" hidden="1">
      <c r="O389" s="2" t="s">
        <v>590</v>
      </c>
    </row>
    <row r="390" spans="15:15" hidden="1">
      <c r="O390" s="2" t="s">
        <v>589</v>
      </c>
    </row>
    <row r="391" spans="15:15" hidden="1">
      <c r="O391" s="2" t="s">
        <v>590</v>
      </c>
    </row>
    <row r="392" spans="15:15" hidden="1">
      <c r="O392" s="2" t="s">
        <v>591</v>
      </c>
    </row>
    <row r="393" spans="15:15" hidden="1">
      <c r="O393" s="2" t="s">
        <v>590</v>
      </c>
    </row>
    <row r="394" spans="15:15" hidden="1">
      <c r="O394" s="2" t="s">
        <v>590</v>
      </c>
    </row>
    <row r="395" spans="15:15" hidden="1">
      <c r="O395" s="2" t="s">
        <v>589</v>
      </c>
    </row>
    <row r="396" spans="15:15" hidden="1">
      <c r="O396" s="2" t="s">
        <v>593</v>
      </c>
    </row>
    <row r="397" spans="15:15" hidden="1">
      <c r="O397" s="2" t="s">
        <v>590</v>
      </c>
    </row>
    <row r="398" spans="15:15" hidden="1">
      <c r="O398" s="2" t="s">
        <v>592</v>
      </c>
    </row>
    <row r="399" spans="15:15" hidden="1">
      <c r="O399" s="2" t="s">
        <v>590</v>
      </c>
    </row>
    <row r="400" spans="15:15" hidden="1">
      <c r="O400" s="2" t="s">
        <v>592</v>
      </c>
    </row>
    <row r="401" spans="15:15" hidden="1">
      <c r="O401" s="2" t="s">
        <v>593</v>
      </c>
    </row>
    <row r="402" spans="15:15" hidden="1">
      <c r="O402" s="2" t="s">
        <v>590</v>
      </c>
    </row>
    <row r="403" spans="15:15" hidden="1">
      <c r="O403" s="2" t="s">
        <v>589</v>
      </c>
    </row>
    <row r="404" spans="15:15" hidden="1">
      <c r="O404" s="2" t="s">
        <v>589</v>
      </c>
    </row>
    <row r="405" spans="15:15" hidden="1">
      <c r="O405" s="2" t="s">
        <v>592</v>
      </c>
    </row>
    <row r="406" spans="15:15" hidden="1">
      <c r="O406" s="2" t="s">
        <v>589</v>
      </c>
    </row>
    <row r="407" spans="15:15" hidden="1">
      <c r="O407" s="2" t="s">
        <v>589</v>
      </c>
    </row>
    <row r="408" spans="15:15" hidden="1">
      <c r="O408" s="2" t="s">
        <v>589</v>
      </c>
    </row>
    <row r="409" spans="15:15" hidden="1">
      <c r="O409" s="2" t="s">
        <v>589</v>
      </c>
    </row>
    <row r="410" spans="15:15" hidden="1">
      <c r="O410" s="2" t="s">
        <v>589</v>
      </c>
    </row>
    <row r="411" spans="15:15" hidden="1">
      <c r="O411" s="2" t="s">
        <v>592</v>
      </c>
    </row>
    <row r="412" spans="15:15" hidden="1">
      <c r="O412" s="2" t="s">
        <v>590</v>
      </c>
    </row>
    <row r="413" spans="15:15" hidden="1">
      <c r="O413" s="2" t="s">
        <v>589</v>
      </c>
    </row>
    <row r="414" spans="15:15" hidden="1">
      <c r="O414" s="2" t="s">
        <v>590</v>
      </c>
    </row>
    <row r="415" spans="15:15" hidden="1">
      <c r="O415" s="2" t="s">
        <v>589</v>
      </c>
    </row>
    <row r="416" spans="15:15" hidden="1">
      <c r="O416" s="2" t="s">
        <v>591</v>
      </c>
    </row>
    <row r="417" spans="15:15" hidden="1">
      <c r="O417" s="2" t="s">
        <v>589</v>
      </c>
    </row>
    <row r="418" spans="15:15" hidden="1">
      <c r="O418" s="2" t="s">
        <v>591</v>
      </c>
    </row>
    <row r="419" spans="15:15" hidden="1">
      <c r="O419" s="2" t="s">
        <v>592</v>
      </c>
    </row>
    <row r="420" spans="15:15" hidden="1">
      <c r="O420" s="2" t="s">
        <v>589</v>
      </c>
    </row>
    <row r="421" spans="15:15" hidden="1">
      <c r="O421" s="2" t="s">
        <v>589</v>
      </c>
    </row>
    <row r="422" spans="15:15" hidden="1">
      <c r="O422" s="2" t="s">
        <v>589</v>
      </c>
    </row>
    <row r="423" spans="15:15" hidden="1">
      <c r="O423" s="2" t="s">
        <v>589</v>
      </c>
    </row>
    <row r="424" spans="15:15" hidden="1">
      <c r="O424" s="2" t="s">
        <v>589</v>
      </c>
    </row>
    <row r="425" spans="15:15" hidden="1">
      <c r="O425" s="2" t="s">
        <v>591</v>
      </c>
    </row>
    <row r="426" spans="15:15" hidden="1">
      <c r="O426" s="2" t="s">
        <v>590</v>
      </c>
    </row>
    <row r="427" spans="15:15" hidden="1">
      <c r="O427" s="2" t="s">
        <v>589</v>
      </c>
    </row>
    <row r="428" spans="15:15" hidden="1">
      <c r="O428" s="2" t="s">
        <v>593</v>
      </c>
    </row>
    <row r="429" spans="15:15" hidden="1">
      <c r="O429" s="2" t="s">
        <v>592</v>
      </c>
    </row>
    <row r="430" spans="15:15" hidden="1">
      <c r="O430" s="2" t="s">
        <v>590</v>
      </c>
    </row>
    <row r="431" spans="15:15" hidden="1">
      <c r="O431" s="2" t="s">
        <v>589</v>
      </c>
    </row>
    <row r="432" spans="15:15" hidden="1">
      <c r="O432" s="2" t="s">
        <v>589</v>
      </c>
    </row>
    <row r="433" spans="15:15" hidden="1">
      <c r="O433" s="2" t="s">
        <v>592</v>
      </c>
    </row>
    <row r="434" spans="15:15" hidden="1">
      <c r="O434" s="2" t="s">
        <v>589</v>
      </c>
    </row>
  </sheetData>
  <autoFilter ref="A1:AD215" xr:uid="{00000000-0001-0000-0000-000000000000}"/>
  <phoneticPr fontId="1"/>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天野譲</dc:creator>
  <cp:lastModifiedBy>譲 天野</cp:lastModifiedBy>
  <dcterms:created xsi:type="dcterms:W3CDTF">2015-06-05T18:19:34Z</dcterms:created>
  <dcterms:modified xsi:type="dcterms:W3CDTF">2026-06-22T09:46:53Z</dcterms:modified>
</cp:coreProperties>
</file>